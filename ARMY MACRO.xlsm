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SEM 8\E2  Decision Supp\PROJECT\"/>
    </mc:Choice>
  </mc:AlternateContent>
  <bookViews>
    <workbookView xWindow="0" yWindow="0" windowWidth="23040" windowHeight="8304"/>
  </bookViews>
  <sheets>
    <sheet name="GlobalFirePower" sheetId="1" r:id="rId1"/>
  </sheets>
  <definedNames>
    <definedName name="solver_adj" localSheetId="0" hidden="1">GlobalFirePower!$N$5,GlobalFirePower!$P$5,GlobalFirePower!$T$5,GlobalFirePower!$AH$5,GlobalFirePower!$AR$5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GlobalFirePower!$H$5</definedName>
    <definedName name="solver_lhs2" localSheetId="0" hidden="1">GlobalFirePower!$H$5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GlobalFirePower!$E$5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E6" i="1" l="1"/>
  <c r="AQ6" i="1"/>
  <c r="AG6" i="1"/>
  <c r="S6" i="1"/>
  <c r="O6" i="1"/>
  <c r="M6" i="1"/>
  <c r="N5" i="1"/>
  <c r="AR5" i="1"/>
  <c r="AH5" i="1"/>
  <c r="T5" i="1"/>
  <c r="P5" i="1"/>
  <c r="T4" i="1"/>
  <c r="H5" i="1"/>
  <c r="J5" i="1"/>
  <c r="H4" i="1"/>
  <c r="CG92" i="1"/>
  <c r="AJ10" i="1"/>
  <c r="T85" i="1"/>
  <c r="X2" i="1"/>
  <c r="Z10" i="1"/>
  <c r="AB29" i="1"/>
  <c r="AD78" i="1"/>
  <c r="AH12" i="1"/>
  <c r="AL57" i="1"/>
  <c r="AN83" i="1"/>
  <c r="AP3" i="1"/>
  <c r="AR19" i="1"/>
  <c r="AT7" i="1"/>
  <c r="AZ16" i="1"/>
  <c r="BD28" i="1"/>
  <c r="BF16" i="1"/>
  <c r="BL104" i="1"/>
  <c r="BV2" i="1"/>
  <c r="BZ17" i="1"/>
  <c r="CC2" i="1"/>
  <c r="CE7" i="1"/>
  <c r="CG137" i="1"/>
  <c r="CG26" i="1" s="1"/>
  <c r="CI137" i="1"/>
  <c r="CI62" i="1" s="1"/>
  <c r="CK137" i="1"/>
  <c r="CK67" i="1" s="1"/>
  <c r="CG42" i="1" l="1"/>
  <c r="CK131" i="1"/>
  <c r="CG124" i="1"/>
  <c r="L4" i="1"/>
  <c r="L10" i="1"/>
  <c r="L14" i="1"/>
  <c r="L18" i="1"/>
  <c r="L22" i="1"/>
  <c r="L26" i="1"/>
  <c r="L30" i="1"/>
  <c r="L34" i="1"/>
  <c r="L38" i="1"/>
  <c r="L42" i="1"/>
  <c r="L46" i="1"/>
  <c r="L50" i="1"/>
  <c r="L54" i="1"/>
  <c r="L58" i="1"/>
  <c r="L62" i="1"/>
  <c r="L66" i="1"/>
  <c r="L70" i="1"/>
  <c r="L74" i="1"/>
  <c r="L7" i="1"/>
  <c r="L11" i="1"/>
  <c r="L15" i="1"/>
  <c r="L19" i="1"/>
  <c r="L23" i="1"/>
  <c r="L27" i="1"/>
  <c r="L31" i="1"/>
  <c r="L35" i="1"/>
  <c r="L39" i="1"/>
  <c r="L43" i="1"/>
  <c r="L47" i="1"/>
  <c r="L51" i="1"/>
  <c r="L8" i="1"/>
  <c r="L12" i="1"/>
  <c r="L16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9" i="1"/>
  <c r="L25" i="1"/>
  <c r="L41" i="1"/>
  <c r="L55" i="1"/>
  <c r="L63" i="1"/>
  <c r="L71" i="1"/>
  <c r="L78" i="1"/>
  <c r="L83" i="1"/>
  <c r="L87" i="1"/>
  <c r="L91" i="1"/>
  <c r="L95" i="1"/>
  <c r="L99" i="1"/>
  <c r="L103" i="1"/>
  <c r="L107" i="1"/>
  <c r="L111" i="1"/>
  <c r="L115" i="1"/>
  <c r="L119" i="1"/>
  <c r="L123" i="1"/>
  <c r="L127" i="1"/>
  <c r="L131" i="1"/>
  <c r="L135" i="1"/>
  <c r="L13" i="1"/>
  <c r="L29" i="1"/>
  <c r="L45" i="1"/>
  <c r="L57" i="1"/>
  <c r="L65" i="1"/>
  <c r="L73" i="1"/>
  <c r="L79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L3" i="1"/>
  <c r="L17" i="1"/>
  <c r="L33" i="1"/>
  <c r="L49" i="1"/>
  <c r="L59" i="1"/>
  <c r="L67" i="1"/>
  <c r="L75" i="1"/>
  <c r="L81" i="1"/>
  <c r="L85" i="1"/>
  <c r="L89" i="1"/>
  <c r="L93" i="1"/>
  <c r="L97" i="1"/>
  <c r="L101" i="1"/>
  <c r="L105" i="1"/>
  <c r="L109" i="1"/>
  <c r="L113" i="1"/>
  <c r="L117" i="1"/>
  <c r="L121" i="1"/>
  <c r="L125" i="1"/>
  <c r="L129" i="1"/>
  <c r="L133" i="1"/>
  <c r="L2" i="1"/>
  <c r="L21" i="1"/>
  <c r="L37" i="1"/>
  <c r="L53" i="1"/>
  <c r="L61" i="1"/>
  <c r="L69" i="1"/>
  <c r="L77" i="1"/>
  <c r="L82" i="1"/>
  <c r="L86" i="1"/>
  <c r="L90" i="1"/>
  <c r="L94" i="1"/>
  <c r="L98" i="1"/>
  <c r="L102" i="1"/>
  <c r="L106" i="1"/>
  <c r="L110" i="1"/>
  <c r="L114" i="1"/>
  <c r="L118" i="1"/>
  <c r="L122" i="1"/>
  <c r="L126" i="1"/>
  <c r="L130" i="1"/>
  <c r="L134" i="1"/>
  <c r="V4" i="1"/>
  <c r="V10" i="1"/>
  <c r="V14" i="1"/>
  <c r="V18" i="1"/>
  <c r="V8" i="1"/>
  <c r="V12" i="1"/>
  <c r="V16" i="1"/>
  <c r="AJ135" i="1"/>
  <c r="AJ129" i="1"/>
  <c r="AJ122" i="1"/>
  <c r="AJ114" i="1"/>
  <c r="AJ107" i="1"/>
  <c r="AJ101" i="1"/>
  <c r="AJ93" i="1"/>
  <c r="AJ86" i="1"/>
  <c r="AJ79" i="1"/>
  <c r="AJ71" i="1"/>
  <c r="AJ65" i="1"/>
  <c r="AJ58" i="1"/>
  <c r="AJ50" i="1"/>
  <c r="AJ43" i="1"/>
  <c r="AJ37" i="1"/>
  <c r="AJ29" i="1"/>
  <c r="AJ22" i="1"/>
  <c r="AJ15" i="1"/>
  <c r="AJ7" i="1"/>
  <c r="BZ130" i="1"/>
  <c r="BZ119" i="1"/>
  <c r="BZ109" i="1"/>
  <c r="BZ98" i="1"/>
  <c r="BZ87" i="1"/>
  <c r="BZ69" i="1"/>
  <c r="BZ37" i="1"/>
  <c r="BZ4" i="1"/>
  <c r="CE79" i="1"/>
  <c r="CE15" i="1"/>
  <c r="V3" i="1"/>
  <c r="V132" i="1"/>
  <c r="V128" i="1"/>
  <c r="V124" i="1"/>
  <c r="V120" i="1"/>
  <c r="V116" i="1"/>
  <c r="V112" i="1"/>
  <c r="V108" i="1"/>
  <c r="V104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24" i="1"/>
  <c r="V20" i="1"/>
  <c r="V13" i="1"/>
  <c r="T135" i="1"/>
  <c r="T127" i="1"/>
  <c r="T119" i="1"/>
  <c r="T111" i="1"/>
  <c r="T103" i="1"/>
  <c r="T95" i="1"/>
  <c r="T87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3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2" i="1"/>
  <c r="J4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8" i="1"/>
  <c r="J12" i="1"/>
  <c r="J16" i="1"/>
  <c r="J20" i="1"/>
  <c r="J24" i="1"/>
  <c r="J28" i="1"/>
  <c r="J32" i="1"/>
  <c r="J36" i="1"/>
  <c r="J40" i="1"/>
  <c r="J44" i="1"/>
  <c r="J48" i="1"/>
  <c r="J52" i="1"/>
  <c r="J56" i="1"/>
  <c r="J60" i="1"/>
  <c r="J64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3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77" i="1"/>
  <c r="J93" i="1"/>
  <c r="J109" i="1"/>
  <c r="J125" i="1"/>
  <c r="J65" i="1"/>
  <c r="J81" i="1"/>
  <c r="J97" i="1"/>
  <c r="J113" i="1"/>
  <c r="J129" i="1"/>
  <c r="J69" i="1"/>
  <c r="J85" i="1"/>
  <c r="J101" i="1"/>
  <c r="J117" i="1"/>
  <c r="J133" i="1"/>
  <c r="J73" i="1"/>
  <c r="J89" i="1"/>
  <c r="J105" i="1"/>
  <c r="J121" i="1"/>
  <c r="J2" i="1"/>
  <c r="AB73" i="1"/>
  <c r="AJ134" i="1"/>
  <c r="AJ127" i="1"/>
  <c r="AJ119" i="1"/>
  <c r="AJ113" i="1"/>
  <c r="AJ106" i="1"/>
  <c r="AJ98" i="1"/>
  <c r="AJ91" i="1"/>
  <c r="AJ85" i="1"/>
  <c r="AJ77" i="1"/>
  <c r="AJ70" i="1"/>
  <c r="AJ63" i="1"/>
  <c r="AJ55" i="1"/>
  <c r="AJ49" i="1"/>
  <c r="AJ42" i="1"/>
  <c r="AJ34" i="1"/>
  <c r="AJ27" i="1"/>
  <c r="AJ21" i="1"/>
  <c r="AJ13" i="1"/>
  <c r="AJ4" i="1"/>
  <c r="BZ126" i="1"/>
  <c r="BZ115" i="1"/>
  <c r="BZ105" i="1"/>
  <c r="BZ94" i="1"/>
  <c r="BZ82" i="1"/>
  <c r="BZ57" i="1"/>
  <c r="BZ25" i="1"/>
  <c r="CE119" i="1"/>
  <c r="CE55" i="1"/>
  <c r="X3" i="1"/>
  <c r="V135" i="1"/>
  <c r="V131" i="1"/>
  <c r="V127" i="1"/>
  <c r="V123" i="1"/>
  <c r="V119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1" i="1"/>
  <c r="T133" i="1"/>
  <c r="T125" i="1"/>
  <c r="T117" i="1"/>
  <c r="T109" i="1"/>
  <c r="T101" i="1"/>
  <c r="T93" i="1"/>
  <c r="T7" i="1"/>
  <c r="T11" i="1"/>
  <c r="T15" i="1"/>
  <c r="T19" i="1"/>
  <c r="T23" i="1"/>
  <c r="T27" i="1"/>
  <c r="T31" i="1"/>
  <c r="T35" i="1"/>
  <c r="T39" i="1"/>
  <c r="T43" i="1"/>
  <c r="T47" i="1"/>
  <c r="T51" i="1"/>
  <c r="T55" i="1"/>
  <c r="T59" i="1"/>
  <c r="T63" i="1"/>
  <c r="T67" i="1"/>
  <c r="T71" i="1"/>
  <c r="T75" i="1"/>
  <c r="T79" i="1"/>
  <c r="T2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3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N7" i="1"/>
  <c r="N11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71" i="1"/>
  <c r="N75" i="1"/>
  <c r="N79" i="1"/>
  <c r="N83" i="1"/>
  <c r="N87" i="1"/>
  <c r="N91" i="1"/>
  <c r="N95" i="1"/>
  <c r="N99" i="1"/>
  <c r="N103" i="1"/>
  <c r="N107" i="1"/>
  <c r="N111" i="1"/>
  <c r="N115" i="1"/>
  <c r="N119" i="1"/>
  <c r="N123" i="1"/>
  <c r="N127" i="1"/>
  <c r="N131" i="1"/>
  <c r="N135" i="1"/>
  <c r="N8" i="1"/>
  <c r="N12" i="1"/>
  <c r="N16" i="1"/>
  <c r="N20" i="1"/>
  <c r="N24" i="1"/>
  <c r="N28" i="1"/>
  <c r="N32" i="1"/>
  <c r="N36" i="1"/>
  <c r="N40" i="1"/>
  <c r="N44" i="1"/>
  <c r="N48" i="1"/>
  <c r="N52" i="1"/>
  <c r="N56" i="1"/>
  <c r="N60" i="1"/>
  <c r="N64" i="1"/>
  <c r="N68" i="1"/>
  <c r="N72" i="1"/>
  <c r="N76" i="1"/>
  <c r="N80" i="1"/>
  <c r="N84" i="1"/>
  <c r="N88" i="1"/>
  <c r="N92" i="1"/>
  <c r="N96" i="1"/>
  <c r="N100" i="1"/>
  <c r="N104" i="1"/>
  <c r="N108" i="1"/>
  <c r="N112" i="1"/>
  <c r="N116" i="1"/>
  <c r="N120" i="1"/>
  <c r="N124" i="1"/>
  <c r="N128" i="1"/>
  <c r="N132" i="1"/>
  <c r="N3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2" i="1"/>
  <c r="N4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10" i="1"/>
  <c r="N114" i="1"/>
  <c r="N118" i="1"/>
  <c r="N122" i="1"/>
  <c r="N126" i="1"/>
  <c r="N130" i="1"/>
  <c r="N134" i="1"/>
  <c r="AJ133" i="1"/>
  <c r="AJ125" i="1"/>
  <c r="AJ118" i="1"/>
  <c r="AJ111" i="1"/>
  <c r="AJ103" i="1"/>
  <c r="AJ97" i="1"/>
  <c r="AJ90" i="1"/>
  <c r="AJ82" i="1"/>
  <c r="AJ75" i="1"/>
  <c r="AJ69" i="1"/>
  <c r="AJ61" i="1"/>
  <c r="AJ54" i="1"/>
  <c r="AJ47" i="1"/>
  <c r="AJ39" i="1"/>
  <c r="AJ33" i="1"/>
  <c r="AJ26" i="1"/>
  <c r="AJ18" i="1"/>
  <c r="AJ11" i="1"/>
  <c r="BZ135" i="1"/>
  <c r="BZ125" i="1"/>
  <c r="BZ114" i="1"/>
  <c r="BZ103" i="1"/>
  <c r="BZ93" i="1"/>
  <c r="BZ81" i="1"/>
  <c r="BZ53" i="1"/>
  <c r="BZ21" i="1"/>
  <c r="CE111" i="1"/>
  <c r="CE47" i="1"/>
  <c r="V134" i="1"/>
  <c r="V130" i="1"/>
  <c r="V126" i="1"/>
  <c r="V122" i="1"/>
  <c r="V118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7" i="1"/>
  <c r="V9" i="1"/>
  <c r="T131" i="1"/>
  <c r="T123" i="1"/>
  <c r="T115" i="1"/>
  <c r="T107" i="1"/>
  <c r="T99" i="1"/>
  <c r="T91" i="1"/>
  <c r="T83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18" i="1"/>
  <c r="R122" i="1"/>
  <c r="R126" i="1"/>
  <c r="R130" i="1"/>
  <c r="R134" i="1"/>
  <c r="R2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3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1" i="1"/>
  <c r="R125" i="1"/>
  <c r="R129" i="1"/>
  <c r="R133" i="1"/>
  <c r="R4" i="1"/>
  <c r="P7" i="1"/>
  <c r="P11" i="1"/>
  <c r="P15" i="1"/>
  <c r="P19" i="1"/>
  <c r="P23" i="1"/>
  <c r="P27" i="1"/>
  <c r="P31" i="1"/>
  <c r="P35" i="1"/>
  <c r="P39" i="1"/>
  <c r="P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9" i="1"/>
  <c r="P13" i="1"/>
  <c r="P17" i="1"/>
  <c r="P21" i="1"/>
  <c r="P25" i="1"/>
  <c r="P4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29" i="1"/>
  <c r="P45" i="1"/>
  <c r="P53" i="1"/>
  <c r="P61" i="1"/>
  <c r="P69" i="1"/>
  <c r="P77" i="1"/>
  <c r="P85" i="1"/>
  <c r="P93" i="1"/>
  <c r="P101" i="1"/>
  <c r="P109" i="1"/>
  <c r="P113" i="1"/>
  <c r="P117" i="1"/>
  <c r="P121" i="1"/>
  <c r="P125" i="1"/>
  <c r="P129" i="1"/>
  <c r="P133" i="1"/>
  <c r="P2" i="1"/>
  <c r="P33" i="1"/>
  <c r="P47" i="1"/>
  <c r="P55" i="1"/>
  <c r="P63" i="1"/>
  <c r="P71" i="1"/>
  <c r="P79" i="1"/>
  <c r="P87" i="1"/>
  <c r="P95" i="1"/>
  <c r="P103" i="1"/>
  <c r="P110" i="1"/>
  <c r="P114" i="1"/>
  <c r="P118" i="1"/>
  <c r="P122" i="1"/>
  <c r="P126" i="1"/>
  <c r="P130" i="1"/>
  <c r="P134" i="1"/>
  <c r="P37" i="1"/>
  <c r="P49" i="1"/>
  <c r="P57" i="1"/>
  <c r="P65" i="1"/>
  <c r="P73" i="1"/>
  <c r="P81" i="1"/>
  <c r="P89" i="1"/>
  <c r="P97" i="1"/>
  <c r="P105" i="1"/>
  <c r="P111" i="1"/>
  <c r="P115" i="1"/>
  <c r="P119" i="1"/>
  <c r="P123" i="1"/>
  <c r="P127" i="1"/>
  <c r="P131" i="1"/>
  <c r="P135" i="1"/>
  <c r="P41" i="1"/>
  <c r="P51" i="1"/>
  <c r="P59" i="1"/>
  <c r="P67" i="1"/>
  <c r="P75" i="1"/>
  <c r="P83" i="1"/>
  <c r="P91" i="1"/>
  <c r="P99" i="1"/>
  <c r="P107" i="1"/>
  <c r="P112" i="1"/>
  <c r="P116" i="1"/>
  <c r="P120" i="1"/>
  <c r="P124" i="1"/>
  <c r="P128" i="1"/>
  <c r="P132" i="1"/>
  <c r="P3" i="1"/>
  <c r="AJ130" i="1"/>
  <c r="AJ123" i="1"/>
  <c r="AJ117" i="1"/>
  <c r="AJ109" i="1"/>
  <c r="AJ102" i="1"/>
  <c r="AJ95" i="1"/>
  <c r="AJ87" i="1"/>
  <c r="AJ81" i="1"/>
  <c r="AJ74" i="1"/>
  <c r="AJ66" i="1"/>
  <c r="AJ59" i="1"/>
  <c r="AJ53" i="1"/>
  <c r="AJ45" i="1"/>
  <c r="AJ38" i="1"/>
  <c r="AJ31" i="1"/>
  <c r="AJ23" i="1"/>
  <c r="AJ17" i="1"/>
  <c r="BZ131" i="1"/>
  <c r="BZ121" i="1"/>
  <c r="BZ110" i="1"/>
  <c r="BZ99" i="1"/>
  <c r="BZ89" i="1"/>
  <c r="BZ73" i="1"/>
  <c r="BZ41" i="1"/>
  <c r="BZ9" i="1"/>
  <c r="CE87" i="1"/>
  <c r="CE23" i="1"/>
  <c r="V2" i="1"/>
  <c r="V133" i="1"/>
  <c r="V129" i="1"/>
  <c r="V125" i="1"/>
  <c r="V121" i="1"/>
  <c r="V117" i="1"/>
  <c r="V113" i="1"/>
  <c r="V109" i="1"/>
  <c r="V105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5" i="1"/>
  <c r="V7" i="1"/>
  <c r="T129" i="1"/>
  <c r="T121" i="1"/>
  <c r="T113" i="1"/>
  <c r="T105" i="1"/>
  <c r="T97" i="1"/>
  <c r="T89" i="1"/>
  <c r="T81" i="1"/>
  <c r="CG84" i="1"/>
  <c r="CI94" i="1"/>
  <c r="CK99" i="1"/>
  <c r="CC3" i="1"/>
  <c r="CC8" i="1"/>
  <c r="CC12" i="1"/>
  <c r="CC16" i="1"/>
  <c r="CC20" i="1"/>
  <c r="CC24" i="1"/>
  <c r="CC28" i="1"/>
  <c r="CC32" i="1"/>
  <c r="CC36" i="1"/>
  <c r="CC4" i="1"/>
  <c r="CC9" i="1"/>
  <c r="CC13" i="1"/>
  <c r="CC17" i="1"/>
  <c r="CC21" i="1"/>
  <c r="CC25" i="1"/>
  <c r="CC29" i="1"/>
  <c r="CC33" i="1"/>
  <c r="CC37" i="1"/>
  <c r="CC14" i="1"/>
  <c r="CC22" i="1"/>
  <c r="CC30" i="1"/>
  <c r="CC38" i="1"/>
  <c r="CC42" i="1"/>
  <c r="CC46" i="1"/>
  <c r="CC50" i="1"/>
  <c r="CC54" i="1"/>
  <c r="CC58" i="1"/>
  <c r="CC62" i="1"/>
  <c r="CC66" i="1"/>
  <c r="CC70" i="1"/>
  <c r="CC74" i="1"/>
  <c r="CC78" i="1"/>
  <c r="CC82" i="1"/>
  <c r="CC86" i="1"/>
  <c r="CC90" i="1"/>
  <c r="CC94" i="1"/>
  <c r="CC98" i="1"/>
  <c r="CC102" i="1"/>
  <c r="CC106" i="1"/>
  <c r="CC110" i="1"/>
  <c r="CC114" i="1"/>
  <c r="CC118" i="1"/>
  <c r="CC122" i="1"/>
  <c r="CC126" i="1"/>
  <c r="CC130" i="1"/>
  <c r="CC134" i="1"/>
  <c r="CC7" i="1"/>
  <c r="CC15" i="1"/>
  <c r="CC23" i="1"/>
  <c r="CC31" i="1"/>
  <c r="CC39" i="1"/>
  <c r="CC43" i="1"/>
  <c r="CC47" i="1"/>
  <c r="CC51" i="1"/>
  <c r="CC55" i="1"/>
  <c r="CC59" i="1"/>
  <c r="CC63" i="1"/>
  <c r="CC67" i="1"/>
  <c r="CC71" i="1"/>
  <c r="CC75" i="1"/>
  <c r="CC79" i="1"/>
  <c r="CC83" i="1"/>
  <c r="CC87" i="1"/>
  <c r="CC91" i="1"/>
  <c r="CC95" i="1"/>
  <c r="CC99" i="1"/>
  <c r="CC103" i="1"/>
  <c r="CC107" i="1"/>
  <c r="CC111" i="1"/>
  <c r="CC115" i="1"/>
  <c r="CC119" i="1"/>
  <c r="CC123" i="1"/>
  <c r="CC127" i="1"/>
  <c r="CC131" i="1"/>
  <c r="CC135" i="1"/>
  <c r="CC10" i="1"/>
  <c r="CC18" i="1"/>
  <c r="CC26" i="1"/>
  <c r="CC34" i="1"/>
  <c r="CC40" i="1"/>
  <c r="CC44" i="1"/>
  <c r="CC48" i="1"/>
  <c r="CC52" i="1"/>
  <c r="CC56" i="1"/>
  <c r="CC60" i="1"/>
  <c r="CC64" i="1"/>
  <c r="CC68" i="1"/>
  <c r="CC72" i="1"/>
  <c r="CC76" i="1"/>
  <c r="CC80" i="1"/>
  <c r="CC84" i="1"/>
  <c r="CC88" i="1"/>
  <c r="CC92" i="1"/>
  <c r="CC96" i="1"/>
  <c r="CC100" i="1"/>
  <c r="CC104" i="1"/>
  <c r="CC108" i="1"/>
  <c r="CC112" i="1"/>
  <c r="CC116" i="1"/>
  <c r="CC120" i="1"/>
  <c r="CC124" i="1"/>
  <c r="CC128" i="1"/>
  <c r="CC132" i="1"/>
  <c r="CC109" i="1"/>
  <c r="CC77" i="1"/>
  <c r="CC61" i="1"/>
  <c r="CC19" i="1"/>
  <c r="CI111" i="1"/>
  <c r="CG7" i="1"/>
  <c r="CG11" i="1"/>
  <c r="CG15" i="1"/>
  <c r="CG19" i="1"/>
  <c r="CG23" i="1"/>
  <c r="CG27" i="1"/>
  <c r="CG31" i="1"/>
  <c r="CG35" i="1"/>
  <c r="CG39" i="1"/>
  <c r="CG43" i="1"/>
  <c r="CG47" i="1"/>
  <c r="CG51" i="1"/>
  <c r="CG55" i="1"/>
  <c r="CG59" i="1"/>
  <c r="CG63" i="1"/>
  <c r="CG67" i="1"/>
  <c r="CG71" i="1"/>
  <c r="CG75" i="1"/>
  <c r="CG3" i="1"/>
  <c r="CG8" i="1"/>
  <c r="CG12" i="1"/>
  <c r="CG16" i="1"/>
  <c r="CG20" i="1"/>
  <c r="CG24" i="1"/>
  <c r="CG28" i="1"/>
  <c r="CG32" i="1"/>
  <c r="CG36" i="1"/>
  <c r="CG40" i="1"/>
  <c r="CG44" i="1"/>
  <c r="CG48" i="1"/>
  <c r="CG52" i="1"/>
  <c r="CG56" i="1"/>
  <c r="CG60" i="1"/>
  <c r="CG64" i="1"/>
  <c r="CG68" i="1"/>
  <c r="CG72" i="1"/>
  <c r="CG76" i="1"/>
  <c r="CG4" i="1"/>
  <c r="CG13" i="1"/>
  <c r="CG21" i="1"/>
  <c r="CG29" i="1"/>
  <c r="CG37" i="1"/>
  <c r="CG45" i="1"/>
  <c r="CG53" i="1"/>
  <c r="CG61" i="1"/>
  <c r="CG69" i="1"/>
  <c r="CG77" i="1"/>
  <c r="CG81" i="1"/>
  <c r="CG85" i="1"/>
  <c r="CG89" i="1"/>
  <c r="CG93" i="1"/>
  <c r="CG97" i="1"/>
  <c r="CG101" i="1"/>
  <c r="CG105" i="1"/>
  <c r="CG109" i="1"/>
  <c r="CG113" i="1"/>
  <c r="CG117" i="1"/>
  <c r="CG121" i="1"/>
  <c r="CG125" i="1"/>
  <c r="CG129" i="1"/>
  <c r="CG133" i="1"/>
  <c r="CG5" i="1"/>
  <c r="CG14" i="1"/>
  <c r="CG22" i="1"/>
  <c r="CG30" i="1"/>
  <c r="CG38" i="1"/>
  <c r="CG46" i="1"/>
  <c r="CG54" i="1"/>
  <c r="CG62" i="1"/>
  <c r="CG70" i="1"/>
  <c r="CG78" i="1"/>
  <c r="CG82" i="1"/>
  <c r="CG86" i="1"/>
  <c r="CG90" i="1"/>
  <c r="CG94" i="1"/>
  <c r="CG98" i="1"/>
  <c r="CG102" i="1"/>
  <c r="CG106" i="1"/>
  <c r="CG110" i="1"/>
  <c r="CG114" i="1"/>
  <c r="CG118" i="1"/>
  <c r="CG122" i="1"/>
  <c r="CG126" i="1"/>
  <c r="CG130" i="1"/>
  <c r="CG134" i="1"/>
  <c r="CG17" i="1"/>
  <c r="CG33" i="1"/>
  <c r="CG49" i="1"/>
  <c r="CG65" i="1"/>
  <c r="CG79" i="1"/>
  <c r="CG87" i="1"/>
  <c r="CG95" i="1"/>
  <c r="CG103" i="1"/>
  <c r="CG111" i="1"/>
  <c r="CG119" i="1"/>
  <c r="CG127" i="1"/>
  <c r="CG135" i="1"/>
  <c r="CG18" i="1"/>
  <c r="CG34" i="1"/>
  <c r="CG50" i="1"/>
  <c r="CG66" i="1"/>
  <c r="CG80" i="1"/>
  <c r="CG88" i="1"/>
  <c r="CG96" i="1"/>
  <c r="CG104" i="1"/>
  <c r="CG112" i="1"/>
  <c r="CG120" i="1"/>
  <c r="CG128" i="1"/>
  <c r="CG2" i="1"/>
  <c r="CG9" i="1"/>
  <c r="CG25" i="1"/>
  <c r="CG41" i="1"/>
  <c r="CG57" i="1"/>
  <c r="CG73" i="1"/>
  <c r="CG83" i="1"/>
  <c r="CG91" i="1"/>
  <c r="CG99" i="1"/>
  <c r="CG107" i="1"/>
  <c r="CG115" i="1"/>
  <c r="CG123" i="1"/>
  <c r="CG131" i="1"/>
  <c r="CC121" i="1"/>
  <c r="CC89" i="1"/>
  <c r="CC73" i="1"/>
  <c r="CC41" i="1"/>
  <c r="CC11" i="1"/>
  <c r="CG116" i="1"/>
  <c r="AV64" i="1"/>
  <c r="AV107" i="1"/>
  <c r="AJ3" i="1"/>
  <c r="AJ8" i="1"/>
  <c r="AJ12" i="1"/>
  <c r="AJ16" i="1"/>
  <c r="AJ20" i="1"/>
  <c r="AJ24" i="1"/>
  <c r="AJ28" i="1"/>
  <c r="AJ32" i="1"/>
  <c r="AJ36" i="1"/>
  <c r="AJ40" i="1"/>
  <c r="AJ44" i="1"/>
  <c r="AJ48" i="1"/>
  <c r="AJ52" i="1"/>
  <c r="AJ56" i="1"/>
  <c r="AJ60" i="1"/>
  <c r="AJ64" i="1"/>
  <c r="AJ68" i="1"/>
  <c r="AJ72" i="1"/>
  <c r="AJ76" i="1"/>
  <c r="AJ80" i="1"/>
  <c r="AJ84" i="1"/>
  <c r="AJ88" i="1"/>
  <c r="AJ92" i="1"/>
  <c r="AJ96" i="1"/>
  <c r="AJ100" i="1"/>
  <c r="AJ104" i="1"/>
  <c r="AJ108" i="1"/>
  <c r="AJ112" i="1"/>
  <c r="AJ116" i="1"/>
  <c r="AJ120" i="1"/>
  <c r="AJ124" i="1"/>
  <c r="AJ128" i="1"/>
  <c r="AJ132" i="1"/>
  <c r="AJ2" i="1"/>
  <c r="AJ131" i="1"/>
  <c r="AJ126" i="1"/>
  <c r="AJ121" i="1"/>
  <c r="AJ115" i="1"/>
  <c r="AJ110" i="1"/>
  <c r="AJ105" i="1"/>
  <c r="AJ99" i="1"/>
  <c r="AJ94" i="1"/>
  <c r="AJ89" i="1"/>
  <c r="AJ83" i="1"/>
  <c r="AJ78" i="1"/>
  <c r="AJ73" i="1"/>
  <c r="AJ67" i="1"/>
  <c r="AJ62" i="1"/>
  <c r="AJ57" i="1"/>
  <c r="AJ51" i="1"/>
  <c r="AJ46" i="1"/>
  <c r="AJ41" i="1"/>
  <c r="AJ35" i="1"/>
  <c r="AJ30" i="1"/>
  <c r="AJ25" i="1"/>
  <c r="AJ19" i="1"/>
  <c r="AJ14" i="1"/>
  <c r="AJ9" i="1"/>
  <c r="BZ2" i="1"/>
  <c r="BZ134" i="1"/>
  <c r="BZ129" i="1"/>
  <c r="BZ123" i="1"/>
  <c r="BZ118" i="1"/>
  <c r="BZ113" i="1"/>
  <c r="BZ107" i="1"/>
  <c r="BZ102" i="1"/>
  <c r="BZ97" i="1"/>
  <c r="BZ91" i="1"/>
  <c r="BZ86" i="1"/>
  <c r="BZ78" i="1"/>
  <c r="BZ65" i="1"/>
  <c r="BZ49" i="1"/>
  <c r="BZ33" i="1"/>
  <c r="CC133" i="1"/>
  <c r="CC117" i="1"/>
  <c r="CC101" i="1"/>
  <c r="CC85" i="1"/>
  <c r="CC69" i="1"/>
  <c r="CC53" i="1"/>
  <c r="CC35" i="1"/>
  <c r="CE135" i="1"/>
  <c r="CE103" i="1"/>
  <c r="CE71" i="1"/>
  <c r="CE39" i="1"/>
  <c r="CG108" i="1"/>
  <c r="CG74" i="1"/>
  <c r="CG10" i="1"/>
  <c r="CI7" i="1"/>
  <c r="CI11" i="1"/>
  <c r="CI15" i="1"/>
  <c r="CI19" i="1"/>
  <c r="CI23" i="1"/>
  <c r="CI27" i="1"/>
  <c r="CI31" i="1"/>
  <c r="CI35" i="1"/>
  <c r="CI39" i="1"/>
  <c r="CI43" i="1"/>
  <c r="CI47" i="1"/>
  <c r="CI51" i="1"/>
  <c r="CI55" i="1"/>
  <c r="CI59" i="1"/>
  <c r="CI63" i="1"/>
  <c r="CI67" i="1"/>
  <c r="CI71" i="1"/>
  <c r="CI75" i="1"/>
  <c r="CI79" i="1"/>
  <c r="CI83" i="1"/>
  <c r="CI87" i="1"/>
  <c r="CI91" i="1"/>
  <c r="CI95" i="1"/>
  <c r="CI3" i="1"/>
  <c r="CI8" i="1"/>
  <c r="CI12" i="1"/>
  <c r="CI16" i="1"/>
  <c r="CI20" i="1"/>
  <c r="CI24" i="1"/>
  <c r="CI28" i="1"/>
  <c r="CI32" i="1"/>
  <c r="CI36" i="1"/>
  <c r="CI40" i="1"/>
  <c r="CI44" i="1"/>
  <c r="CI48" i="1"/>
  <c r="CI52" i="1"/>
  <c r="CI56" i="1"/>
  <c r="CI60" i="1"/>
  <c r="CI64" i="1"/>
  <c r="CI68" i="1"/>
  <c r="CI72" i="1"/>
  <c r="CI76" i="1"/>
  <c r="CI80" i="1"/>
  <c r="CI84" i="1"/>
  <c r="CI88" i="1"/>
  <c r="CI92" i="1"/>
  <c r="CI96" i="1"/>
  <c r="CI100" i="1"/>
  <c r="CI104" i="1"/>
  <c r="CI108" i="1"/>
  <c r="CI112" i="1"/>
  <c r="CI116" i="1"/>
  <c r="CI120" i="1"/>
  <c r="CI124" i="1"/>
  <c r="CI128" i="1"/>
  <c r="CI132" i="1"/>
  <c r="CI2" i="1"/>
  <c r="CI4" i="1"/>
  <c r="CI9" i="1"/>
  <c r="CI13" i="1"/>
  <c r="CI17" i="1"/>
  <c r="CI21" i="1"/>
  <c r="CI25" i="1"/>
  <c r="CI29" i="1"/>
  <c r="CI33" i="1"/>
  <c r="CI37" i="1"/>
  <c r="CI41" i="1"/>
  <c r="CI45" i="1"/>
  <c r="CI49" i="1"/>
  <c r="CI53" i="1"/>
  <c r="CI57" i="1"/>
  <c r="CI61" i="1"/>
  <c r="CI65" i="1"/>
  <c r="CI69" i="1"/>
  <c r="CI73" i="1"/>
  <c r="CI77" i="1"/>
  <c r="CI81" i="1"/>
  <c r="CI85" i="1"/>
  <c r="CI89" i="1"/>
  <c r="CI93" i="1"/>
  <c r="CI97" i="1"/>
  <c r="CI101" i="1"/>
  <c r="CI105" i="1"/>
  <c r="CI109" i="1"/>
  <c r="CI113" i="1"/>
  <c r="CI117" i="1"/>
  <c r="CI121" i="1"/>
  <c r="CI125" i="1"/>
  <c r="CI129" i="1"/>
  <c r="CI133" i="1"/>
  <c r="CI18" i="1"/>
  <c r="CI34" i="1"/>
  <c r="CI50" i="1"/>
  <c r="CI66" i="1"/>
  <c r="CI82" i="1"/>
  <c r="CI98" i="1"/>
  <c r="CI106" i="1"/>
  <c r="CI114" i="1"/>
  <c r="CI122" i="1"/>
  <c r="CI130" i="1"/>
  <c r="CI5" i="1"/>
  <c r="CI22" i="1"/>
  <c r="CI38" i="1"/>
  <c r="CI54" i="1"/>
  <c r="CI70" i="1"/>
  <c r="CI86" i="1"/>
  <c r="CI99" i="1"/>
  <c r="CI107" i="1"/>
  <c r="CI115" i="1"/>
  <c r="CI123" i="1"/>
  <c r="CI131" i="1"/>
  <c r="CI10" i="1"/>
  <c r="CI42" i="1"/>
  <c r="CI74" i="1"/>
  <c r="CI102" i="1"/>
  <c r="CI118" i="1"/>
  <c r="CI134" i="1"/>
  <c r="CI14" i="1"/>
  <c r="CI46" i="1"/>
  <c r="CI78" i="1"/>
  <c r="CI103" i="1"/>
  <c r="CI119" i="1"/>
  <c r="CI135" i="1"/>
  <c r="CI26" i="1"/>
  <c r="CI58" i="1"/>
  <c r="CI90" i="1"/>
  <c r="CI110" i="1"/>
  <c r="CI126" i="1"/>
  <c r="CC125" i="1"/>
  <c r="CC93" i="1"/>
  <c r="CC45" i="1"/>
  <c r="CC105" i="1"/>
  <c r="CC57" i="1"/>
  <c r="CK3" i="1"/>
  <c r="CK8" i="1"/>
  <c r="CK12" i="1"/>
  <c r="CK16" i="1"/>
  <c r="CK20" i="1"/>
  <c r="CK24" i="1"/>
  <c r="CK28" i="1"/>
  <c r="CK32" i="1"/>
  <c r="CK36" i="1"/>
  <c r="CK40" i="1"/>
  <c r="CK44" i="1"/>
  <c r="CK48" i="1"/>
  <c r="CK52" i="1"/>
  <c r="CK56" i="1"/>
  <c r="CK60" i="1"/>
  <c r="CK64" i="1"/>
  <c r="CK68" i="1"/>
  <c r="CK72" i="1"/>
  <c r="CK76" i="1"/>
  <c r="CK80" i="1"/>
  <c r="CK84" i="1"/>
  <c r="CK88" i="1"/>
  <c r="CK92" i="1"/>
  <c r="CK96" i="1"/>
  <c r="CK100" i="1"/>
  <c r="CK104" i="1"/>
  <c r="CK108" i="1"/>
  <c r="CK112" i="1"/>
  <c r="CK116" i="1"/>
  <c r="CK120" i="1"/>
  <c r="CK124" i="1"/>
  <c r="CK128" i="1"/>
  <c r="CK132" i="1"/>
  <c r="CK2" i="1"/>
  <c r="CK4" i="1"/>
  <c r="CK9" i="1"/>
  <c r="CK13" i="1"/>
  <c r="CK17" i="1"/>
  <c r="CK21" i="1"/>
  <c r="CK25" i="1"/>
  <c r="CK29" i="1"/>
  <c r="CK33" i="1"/>
  <c r="CK37" i="1"/>
  <c r="CK41" i="1"/>
  <c r="CK45" i="1"/>
  <c r="CK49" i="1"/>
  <c r="CK53" i="1"/>
  <c r="CK57" i="1"/>
  <c r="CK61" i="1"/>
  <c r="CK65" i="1"/>
  <c r="CK69" i="1"/>
  <c r="CK73" i="1"/>
  <c r="CK77" i="1"/>
  <c r="CK81" i="1"/>
  <c r="CK85" i="1"/>
  <c r="CK89" i="1"/>
  <c r="CK93" i="1"/>
  <c r="CK97" i="1"/>
  <c r="CK101" i="1"/>
  <c r="CK105" i="1"/>
  <c r="CK109" i="1"/>
  <c r="CK113" i="1"/>
  <c r="CK117" i="1"/>
  <c r="CK121" i="1"/>
  <c r="CK125" i="1"/>
  <c r="CK129" i="1"/>
  <c r="CK133" i="1"/>
  <c r="CK5" i="1"/>
  <c r="CK10" i="1"/>
  <c r="CK14" i="1"/>
  <c r="CK18" i="1"/>
  <c r="CK22" i="1"/>
  <c r="CK26" i="1"/>
  <c r="CK30" i="1"/>
  <c r="CK34" i="1"/>
  <c r="CK38" i="1"/>
  <c r="CK42" i="1"/>
  <c r="CK46" i="1"/>
  <c r="CK50" i="1"/>
  <c r="CK54" i="1"/>
  <c r="CK58" i="1"/>
  <c r="CK62" i="1"/>
  <c r="CK66" i="1"/>
  <c r="CK70" i="1"/>
  <c r="CK74" i="1"/>
  <c r="CK78" i="1"/>
  <c r="CK82" i="1"/>
  <c r="CK86" i="1"/>
  <c r="CK90" i="1"/>
  <c r="CK94" i="1"/>
  <c r="CK98" i="1"/>
  <c r="CK102" i="1"/>
  <c r="CK106" i="1"/>
  <c r="CK110" i="1"/>
  <c r="CK114" i="1"/>
  <c r="CK118" i="1"/>
  <c r="CK122" i="1"/>
  <c r="CK126" i="1"/>
  <c r="CK130" i="1"/>
  <c r="CK134" i="1"/>
  <c r="CK7" i="1"/>
  <c r="CK23" i="1"/>
  <c r="CK39" i="1"/>
  <c r="CK55" i="1"/>
  <c r="CK71" i="1"/>
  <c r="CK87" i="1"/>
  <c r="CK103" i="1"/>
  <c r="CK119" i="1"/>
  <c r="CK135" i="1"/>
  <c r="CK11" i="1"/>
  <c r="CK27" i="1"/>
  <c r="CK43" i="1"/>
  <c r="CK59" i="1"/>
  <c r="CK75" i="1"/>
  <c r="CK91" i="1"/>
  <c r="CK107" i="1"/>
  <c r="CK123" i="1"/>
  <c r="CK15" i="1"/>
  <c r="CK47" i="1"/>
  <c r="CK79" i="1"/>
  <c r="CK111" i="1"/>
  <c r="CK19" i="1"/>
  <c r="CK51" i="1"/>
  <c r="CK83" i="1"/>
  <c r="CK115" i="1"/>
  <c r="CK31" i="1"/>
  <c r="CK63" i="1"/>
  <c r="CK95" i="1"/>
  <c r="CK127" i="1"/>
  <c r="CE3" i="1"/>
  <c r="CE8" i="1"/>
  <c r="CE12" i="1"/>
  <c r="CE16" i="1"/>
  <c r="CE20" i="1"/>
  <c r="CE24" i="1"/>
  <c r="CE28" i="1"/>
  <c r="CE32" i="1"/>
  <c r="CE36" i="1"/>
  <c r="CE40" i="1"/>
  <c r="CE44" i="1"/>
  <c r="CE48" i="1"/>
  <c r="CE52" i="1"/>
  <c r="CE56" i="1"/>
  <c r="CE60" i="1"/>
  <c r="CE64" i="1"/>
  <c r="CE68" i="1"/>
  <c r="CE72" i="1"/>
  <c r="CE76" i="1"/>
  <c r="CE80" i="1"/>
  <c r="CE84" i="1"/>
  <c r="CE88" i="1"/>
  <c r="CE92" i="1"/>
  <c r="CE96" i="1"/>
  <c r="CE100" i="1"/>
  <c r="CE104" i="1"/>
  <c r="CE108" i="1"/>
  <c r="CE112" i="1"/>
  <c r="CE116" i="1"/>
  <c r="CE120" i="1"/>
  <c r="CE124" i="1"/>
  <c r="CE128" i="1"/>
  <c r="CE132" i="1"/>
  <c r="CE4" i="1"/>
  <c r="CE9" i="1"/>
  <c r="CE13" i="1"/>
  <c r="CE17" i="1"/>
  <c r="CE21" i="1"/>
  <c r="CE25" i="1"/>
  <c r="CE29" i="1"/>
  <c r="CE33" i="1"/>
  <c r="CE37" i="1"/>
  <c r="CE41" i="1"/>
  <c r="CE45" i="1"/>
  <c r="CE49" i="1"/>
  <c r="CE53" i="1"/>
  <c r="CE57" i="1"/>
  <c r="CE61" i="1"/>
  <c r="CE65" i="1"/>
  <c r="CE69" i="1"/>
  <c r="CE73" i="1"/>
  <c r="CE77" i="1"/>
  <c r="CE81" i="1"/>
  <c r="CE85" i="1"/>
  <c r="CE89" i="1"/>
  <c r="CE93" i="1"/>
  <c r="CE97" i="1"/>
  <c r="CE101" i="1"/>
  <c r="CE105" i="1"/>
  <c r="CE109" i="1"/>
  <c r="CE113" i="1"/>
  <c r="CE117" i="1"/>
  <c r="CE121" i="1"/>
  <c r="CE125" i="1"/>
  <c r="CE129" i="1"/>
  <c r="CE133" i="1"/>
  <c r="CE10" i="1"/>
  <c r="CE18" i="1"/>
  <c r="CE26" i="1"/>
  <c r="CE34" i="1"/>
  <c r="CE42" i="1"/>
  <c r="CE50" i="1"/>
  <c r="CE58" i="1"/>
  <c r="CE66" i="1"/>
  <c r="CE74" i="1"/>
  <c r="CE82" i="1"/>
  <c r="CE90" i="1"/>
  <c r="CE98" i="1"/>
  <c r="CE106" i="1"/>
  <c r="CE114" i="1"/>
  <c r="CE122" i="1"/>
  <c r="CE130" i="1"/>
  <c r="CE11" i="1"/>
  <c r="CE19" i="1"/>
  <c r="CE27" i="1"/>
  <c r="CE35" i="1"/>
  <c r="CE43" i="1"/>
  <c r="CE51" i="1"/>
  <c r="CE59" i="1"/>
  <c r="CE67" i="1"/>
  <c r="CE75" i="1"/>
  <c r="CE83" i="1"/>
  <c r="CE91" i="1"/>
  <c r="CE99" i="1"/>
  <c r="CE107" i="1"/>
  <c r="CE115" i="1"/>
  <c r="CE123" i="1"/>
  <c r="CE131" i="1"/>
  <c r="CE14" i="1"/>
  <c r="CE22" i="1"/>
  <c r="CE30" i="1"/>
  <c r="CE38" i="1"/>
  <c r="CE46" i="1"/>
  <c r="CE54" i="1"/>
  <c r="CE62" i="1"/>
  <c r="CE70" i="1"/>
  <c r="CE78" i="1"/>
  <c r="CE86" i="1"/>
  <c r="CE94" i="1"/>
  <c r="CE102" i="1"/>
  <c r="CE110" i="1"/>
  <c r="CE118" i="1"/>
  <c r="CE126" i="1"/>
  <c r="CE134" i="1"/>
  <c r="BZ10" i="1"/>
  <c r="BZ14" i="1"/>
  <c r="BZ18" i="1"/>
  <c r="BZ22" i="1"/>
  <c r="BZ26" i="1"/>
  <c r="BZ30" i="1"/>
  <c r="BZ34" i="1"/>
  <c r="BZ38" i="1"/>
  <c r="BZ42" i="1"/>
  <c r="BZ46" i="1"/>
  <c r="BZ50" i="1"/>
  <c r="BZ54" i="1"/>
  <c r="BZ58" i="1"/>
  <c r="BZ62" i="1"/>
  <c r="BZ66" i="1"/>
  <c r="BZ70" i="1"/>
  <c r="BZ74" i="1"/>
  <c r="BZ7" i="1"/>
  <c r="BZ11" i="1"/>
  <c r="BZ15" i="1"/>
  <c r="BZ19" i="1"/>
  <c r="BZ23" i="1"/>
  <c r="BZ27" i="1"/>
  <c r="BZ31" i="1"/>
  <c r="BZ35" i="1"/>
  <c r="BZ39" i="1"/>
  <c r="BZ43" i="1"/>
  <c r="BZ47" i="1"/>
  <c r="BZ51" i="1"/>
  <c r="BZ55" i="1"/>
  <c r="BZ59" i="1"/>
  <c r="BZ63" i="1"/>
  <c r="BZ67" i="1"/>
  <c r="BZ71" i="1"/>
  <c r="BZ75" i="1"/>
  <c r="BZ79" i="1"/>
  <c r="BZ83" i="1"/>
  <c r="BZ3" i="1"/>
  <c r="BZ8" i="1"/>
  <c r="BZ12" i="1"/>
  <c r="BZ16" i="1"/>
  <c r="BZ20" i="1"/>
  <c r="BZ24" i="1"/>
  <c r="BZ28" i="1"/>
  <c r="BZ32" i="1"/>
  <c r="BZ36" i="1"/>
  <c r="BZ40" i="1"/>
  <c r="BZ44" i="1"/>
  <c r="BZ48" i="1"/>
  <c r="BZ52" i="1"/>
  <c r="BZ56" i="1"/>
  <c r="BZ60" i="1"/>
  <c r="BZ64" i="1"/>
  <c r="BZ68" i="1"/>
  <c r="BZ72" i="1"/>
  <c r="BZ76" i="1"/>
  <c r="BZ80" i="1"/>
  <c r="BZ84" i="1"/>
  <c r="BZ88" i="1"/>
  <c r="BZ92" i="1"/>
  <c r="BZ96" i="1"/>
  <c r="BZ100" i="1"/>
  <c r="BZ104" i="1"/>
  <c r="BZ108" i="1"/>
  <c r="BZ112" i="1"/>
  <c r="BZ116" i="1"/>
  <c r="BZ120" i="1"/>
  <c r="BZ124" i="1"/>
  <c r="BZ128" i="1"/>
  <c r="BZ132" i="1"/>
  <c r="CE2" i="1"/>
  <c r="BZ133" i="1"/>
  <c r="BZ127" i="1"/>
  <c r="BZ122" i="1"/>
  <c r="BZ117" i="1"/>
  <c r="BZ111" i="1"/>
  <c r="BZ106" i="1"/>
  <c r="BZ101" i="1"/>
  <c r="BZ95" i="1"/>
  <c r="BZ90" i="1"/>
  <c r="BZ85" i="1"/>
  <c r="BZ77" i="1"/>
  <c r="BZ61" i="1"/>
  <c r="BZ45" i="1"/>
  <c r="BZ29" i="1"/>
  <c r="BZ13" i="1"/>
  <c r="CC129" i="1"/>
  <c r="CC113" i="1"/>
  <c r="CC97" i="1"/>
  <c r="CC81" i="1"/>
  <c r="CC65" i="1"/>
  <c r="CC49" i="1"/>
  <c r="CC27" i="1"/>
  <c r="CE127" i="1"/>
  <c r="CE95" i="1"/>
  <c r="CE63" i="1"/>
  <c r="CE31" i="1"/>
  <c r="CG132" i="1"/>
  <c r="CG100" i="1"/>
  <c r="CG58" i="1"/>
  <c r="CI127" i="1"/>
  <c r="CI30" i="1"/>
  <c r="CK35" i="1"/>
  <c r="Z110" i="1"/>
  <c r="Z24" i="1"/>
  <c r="AB50" i="1"/>
  <c r="AD35" i="1"/>
  <c r="AH40" i="1"/>
  <c r="Z131" i="1"/>
  <c r="AH69" i="1"/>
  <c r="Z88" i="1"/>
  <c r="AB135" i="1"/>
  <c r="AB18" i="1"/>
  <c r="AH125" i="1"/>
  <c r="Z46" i="1"/>
  <c r="Z67" i="1"/>
  <c r="AB103" i="1"/>
  <c r="AD120" i="1"/>
  <c r="AH97" i="1"/>
  <c r="AN27" i="1"/>
  <c r="Z122" i="1"/>
  <c r="Z100" i="1"/>
  <c r="Z79" i="1"/>
  <c r="Z58" i="1"/>
  <c r="Z36" i="1"/>
  <c r="Z15" i="1"/>
  <c r="AB125" i="1"/>
  <c r="AB94" i="1"/>
  <c r="AB71" i="1"/>
  <c r="AB39" i="1"/>
  <c r="AB9" i="1"/>
  <c r="AD104" i="1"/>
  <c r="AD62" i="1"/>
  <c r="AD19" i="1"/>
  <c r="AH113" i="1"/>
  <c r="AH85" i="1"/>
  <c r="AH56" i="1"/>
  <c r="AH26" i="1"/>
  <c r="AL89" i="1"/>
  <c r="AR75" i="1"/>
  <c r="AZ103" i="1"/>
  <c r="Z120" i="1"/>
  <c r="Z99" i="1"/>
  <c r="Z78" i="1"/>
  <c r="Z56" i="1"/>
  <c r="Z35" i="1"/>
  <c r="Z14" i="1"/>
  <c r="AB115" i="1"/>
  <c r="AB93" i="1"/>
  <c r="AB61" i="1"/>
  <c r="AB30" i="1"/>
  <c r="AB7" i="1"/>
  <c r="AD99" i="1"/>
  <c r="AD56" i="1"/>
  <c r="AD14" i="1"/>
  <c r="AH112" i="1"/>
  <c r="AH82" i="1"/>
  <c r="AH54" i="1"/>
  <c r="AH21" i="1"/>
  <c r="AT71" i="1"/>
  <c r="BF80" i="1"/>
  <c r="Z132" i="1"/>
  <c r="Z111" i="1"/>
  <c r="Z90" i="1"/>
  <c r="Z68" i="1"/>
  <c r="Z47" i="1"/>
  <c r="Z26" i="1"/>
  <c r="Z3" i="1"/>
  <c r="AB114" i="1"/>
  <c r="AB82" i="1"/>
  <c r="AB51" i="1"/>
  <c r="AD126" i="1"/>
  <c r="AD83" i="1"/>
  <c r="AD40" i="1"/>
  <c r="AH128" i="1"/>
  <c r="AH98" i="1"/>
  <c r="AH70" i="1"/>
  <c r="AH42" i="1"/>
  <c r="BF2" i="1"/>
  <c r="AN112" i="1"/>
  <c r="AR32" i="1"/>
  <c r="AZ39" i="1"/>
  <c r="BR31" i="1"/>
  <c r="BR32" i="1"/>
  <c r="BB72" i="1"/>
  <c r="BB131" i="1"/>
  <c r="BB92" i="1"/>
  <c r="BB8" i="1"/>
  <c r="BB108" i="1"/>
  <c r="BB40" i="1"/>
  <c r="BB119" i="1"/>
  <c r="AT15" i="1"/>
  <c r="AT36" i="1"/>
  <c r="AT59" i="1"/>
  <c r="AT79" i="1"/>
  <c r="AT100" i="1"/>
  <c r="AT123" i="1"/>
  <c r="AT19" i="1"/>
  <c r="AT39" i="1"/>
  <c r="AT60" i="1"/>
  <c r="AT83" i="1"/>
  <c r="AT103" i="1"/>
  <c r="AT124" i="1"/>
  <c r="AT3" i="1"/>
  <c r="AT27" i="1"/>
  <c r="AT47" i="1"/>
  <c r="AT68" i="1"/>
  <c r="AT91" i="1"/>
  <c r="AT111" i="1"/>
  <c r="AT132" i="1"/>
  <c r="AT28" i="1"/>
  <c r="AT115" i="1"/>
  <c r="AT51" i="1"/>
  <c r="AT135" i="1"/>
  <c r="AL8" i="1"/>
  <c r="AL12" i="1"/>
  <c r="AL26" i="1"/>
  <c r="AL37" i="1"/>
  <c r="AL48" i="1"/>
  <c r="AL59" i="1"/>
  <c r="AL69" i="1"/>
  <c r="AL80" i="1"/>
  <c r="AL91" i="1"/>
  <c r="AL101" i="1"/>
  <c r="AL112" i="1"/>
  <c r="AL123" i="1"/>
  <c r="AL133" i="1"/>
  <c r="AL17" i="1"/>
  <c r="AL31" i="1"/>
  <c r="AL41" i="1"/>
  <c r="AL52" i="1"/>
  <c r="AL63" i="1"/>
  <c r="AL73" i="1"/>
  <c r="AL84" i="1"/>
  <c r="AL95" i="1"/>
  <c r="AL105" i="1"/>
  <c r="AL116" i="1"/>
  <c r="AL127" i="1"/>
  <c r="AL4" i="1"/>
  <c r="AL18" i="1"/>
  <c r="AL32" i="1"/>
  <c r="AL43" i="1"/>
  <c r="AL53" i="1"/>
  <c r="AL64" i="1"/>
  <c r="AL75" i="1"/>
  <c r="AL85" i="1"/>
  <c r="AL96" i="1"/>
  <c r="AL107" i="1"/>
  <c r="AL117" i="1"/>
  <c r="AL128" i="1"/>
  <c r="AL24" i="1"/>
  <c r="AL68" i="1"/>
  <c r="AL111" i="1"/>
  <c r="AL36" i="1"/>
  <c r="AL79" i="1"/>
  <c r="AL121" i="1"/>
  <c r="AB11" i="1"/>
  <c r="AB13" i="1"/>
  <c r="AB23" i="1"/>
  <c r="AB34" i="1"/>
  <c r="AB45" i="1"/>
  <c r="AB55" i="1"/>
  <c r="AB66" i="1"/>
  <c r="AB77" i="1"/>
  <c r="AB87" i="1"/>
  <c r="AB98" i="1"/>
  <c r="AB109" i="1"/>
  <c r="AB119" i="1"/>
  <c r="AB130" i="1"/>
  <c r="AB14" i="1"/>
  <c r="AB25" i="1"/>
  <c r="AB35" i="1"/>
  <c r="AB46" i="1"/>
  <c r="AB57" i="1"/>
  <c r="AB67" i="1"/>
  <c r="AB78" i="1"/>
  <c r="AB89" i="1"/>
  <c r="AB99" i="1"/>
  <c r="AB110" i="1"/>
  <c r="AB121" i="1"/>
  <c r="AB131" i="1"/>
  <c r="Z127" i="1"/>
  <c r="Z116" i="1"/>
  <c r="Z106" i="1"/>
  <c r="Z95" i="1"/>
  <c r="Z84" i="1"/>
  <c r="Z74" i="1"/>
  <c r="Z63" i="1"/>
  <c r="Z52" i="1"/>
  <c r="Z42" i="1"/>
  <c r="Z31" i="1"/>
  <c r="Z20" i="1"/>
  <c r="AB126" i="1"/>
  <c r="AB105" i="1"/>
  <c r="AB83" i="1"/>
  <c r="AB62" i="1"/>
  <c r="AB41" i="1"/>
  <c r="AB19" i="1"/>
  <c r="AH134" i="1"/>
  <c r="AH120" i="1"/>
  <c r="AH106" i="1"/>
  <c r="AH92" i="1"/>
  <c r="AH77" i="1"/>
  <c r="AH64" i="1"/>
  <c r="AH49" i="1"/>
  <c r="AH34" i="1"/>
  <c r="AL132" i="1"/>
  <c r="AL47" i="1"/>
  <c r="AR131" i="1"/>
  <c r="BH64" i="1"/>
  <c r="BH32" i="1"/>
  <c r="BH96" i="1"/>
  <c r="AZ15" i="1"/>
  <c r="AZ19" i="1"/>
  <c r="AZ40" i="1"/>
  <c r="AZ63" i="1"/>
  <c r="AZ83" i="1"/>
  <c r="AZ104" i="1"/>
  <c r="AZ127" i="1"/>
  <c r="AZ2" i="1"/>
  <c r="AZ7" i="1"/>
  <c r="AZ27" i="1"/>
  <c r="AZ48" i="1"/>
  <c r="AZ71" i="1"/>
  <c r="AZ91" i="1"/>
  <c r="AZ112" i="1"/>
  <c r="AZ135" i="1"/>
  <c r="AZ8" i="1"/>
  <c r="AZ31" i="1"/>
  <c r="AZ51" i="1"/>
  <c r="AZ72" i="1"/>
  <c r="AZ95" i="1"/>
  <c r="AZ115" i="1"/>
  <c r="AZ59" i="1"/>
  <c r="AZ80" i="1"/>
  <c r="AR8" i="1"/>
  <c r="AR23" i="1"/>
  <c r="AR35" i="1"/>
  <c r="AR51" i="1"/>
  <c r="AR64" i="1"/>
  <c r="AR79" i="1"/>
  <c r="AR95" i="1"/>
  <c r="AR107" i="1"/>
  <c r="AR120" i="1"/>
  <c r="AR11" i="1"/>
  <c r="AR24" i="1"/>
  <c r="AR40" i="1"/>
  <c r="AR55" i="1"/>
  <c r="AR67" i="1"/>
  <c r="AR83" i="1"/>
  <c r="AR96" i="1"/>
  <c r="AR111" i="1"/>
  <c r="AR127" i="1"/>
  <c r="AR2" i="1"/>
  <c r="AR15" i="1"/>
  <c r="AR31" i="1"/>
  <c r="AR43" i="1"/>
  <c r="AR56" i="1"/>
  <c r="AR72" i="1"/>
  <c r="AR87" i="1"/>
  <c r="AR99" i="1"/>
  <c r="AR115" i="1"/>
  <c r="AR128" i="1"/>
  <c r="AR47" i="1"/>
  <c r="AR104" i="1"/>
  <c r="AR63" i="1"/>
  <c r="AR119" i="1"/>
  <c r="AH8" i="1"/>
  <c r="AH16" i="1"/>
  <c r="AH22" i="1"/>
  <c r="AH29" i="1"/>
  <c r="AH10" i="1"/>
  <c r="AH17" i="1"/>
  <c r="AH24" i="1"/>
  <c r="AH13" i="1"/>
  <c r="AH28" i="1"/>
  <c r="AH37" i="1"/>
  <c r="AH44" i="1"/>
  <c r="AH50" i="1"/>
  <c r="AH58" i="1"/>
  <c r="AH65" i="1"/>
  <c r="AH72" i="1"/>
  <c r="AH80" i="1"/>
  <c r="AH86" i="1"/>
  <c r="AH93" i="1"/>
  <c r="AH101" i="1"/>
  <c r="AH108" i="1"/>
  <c r="AH114" i="1"/>
  <c r="AH122" i="1"/>
  <c r="AH129" i="1"/>
  <c r="AH2" i="1"/>
  <c r="AH4" i="1"/>
  <c r="AH18" i="1"/>
  <c r="AH32" i="1"/>
  <c r="AH38" i="1"/>
  <c r="AH45" i="1"/>
  <c r="AH53" i="1"/>
  <c r="AH60" i="1"/>
  <c r="AH66" i="1"/>
  <c r="AH74" i="1"/>
  <c r="AH81" i="1"/>
  <c r="AH88" i="1"/>
  <c r="AH96" i="1"/>
  <c r="AH102" i="1"/>
  <c r="AH109" i="1"/>
  <c r="AH117" i="1"/>
  <c r="AH124" i="1"/>
  <c r="AH130" i="1"/>
  <c r="Z4" i="1"/>
  <c r="Z11" i="1"/>
  <c r="Z16" i="1"/>
  <c r="Z22" i="1"/>
  <c r="Z27" i="1"/>
  <c r="Z32" i="1"/>
  <c r="Z38" i="1"/>
  <c r="Z43" i="1"/>
  <c r="Z48" i="1"/>
  <c r="Z54" i="1"/>
  <c r="Z59" i="1"/>
  <c r="Z64" i="1"/>
  <c r="Z70" i="1"/>
  <c r="Z75" i="1"/>
  <c r="Z80" i="1"/>
  <c r="Z86" i="1"/>
  <c r="Z91" i="1"/>
  <c r="Z96" i="1"/>
  <c r="Z102" i="1"/>
  <c r="Z107" i="1"/>
  <c r="Z112" i="1"/>
  <c r="Z118" i="1"/>
  <c r="Z123" i="1"/>
  <c r="Z128" i="1"/>
  <c r="Z134" i="1"/>
  <c r="Z7" i="1"/>
  <c r="Z12" i="1"/>
  <c r="Z18" i="1"/>
  <c r="Z23" i="1"/>
  <c r="Z28" i="1"/>
  <c r="Z34" i="1"/>
  <c r="Z39" i="1"/>
  <c r="Z44" i="1"/>
  <c r="Z50" i="1"/>
  <c r="Z55" i="1"/>
  <c r="Z60" i="1"/>
  <c r="Z66" i="1"/>
  <c r="Z71" i="1"/>
  <c r="Z76" i="1"/>
  <c r="Z82" i="1"/>
  <c r="Z87" i="1"/>
  <c r="Z92" i="1"/>
  <c r="Z98" i="1"/>
  <c r="Z103" i="1"/>
  <c r="Z108" i="1"/>
  <c r="Z114" i="1"/>
  <c r="Z119" i="1"/>
  <c r="Z124" i="1"/>
  <c r="Z130" i="1"/>
  <c r="Z135" i="1"/>
  <c r="Z2" i="1"/>
  <c r="Z126" i="1"/>
  <c r="Z115" i="1"/>
  <c r="Z104" i="1"/>
  <c r="Z94" i="1"/>
  <c r="Z83" i="1"/>
  <c r="Z72" i="1"/>
  <c r="Z62" i="1"/>
  <c r="Z51" i="1"/>
  <c r="Z40" i="1"/>
  <c r="Z30" i="1"/>
  <c r="Z19" i="1"/>
  <c r="Z8" i="1"/>
  <c r="AH133" i="1"/>
  <c r="AH118" i="1"/>
  <c r="AH104" i="1"/>
  <c r="AH90" i="1"/>
  <c r="AH76" i="1"/>
  <c r="AH61" i="1"/>
  <c r="AH48" i="1"/>
  <c r="AH33" i="1"/>
  <c r="AL100" i="1"/>
  <c r="AL10" i="1"/>
  <c r="AR88" i="1"/>
  <c r="AT92" i="1"/>
  <c r="AZ123" i="1"/>
  <c r="BN44" i="1"/>
  <c r="BN2" i="1"/>
  <c r="BF32" i="1"/>
  <c r="BF47" i="1"/>
  <c r="BF111" i="1"/>
  <c r="BF48" i="1"/>
  <c r="BF112" i="1"/>
  <c r="BF15" i="1"/>
  <c r="BF79" i="1"/>
  <c r="AD2" i="1"/>
  <c r="AD115" i="1"/>
  <c r="AD94" i="1"/>
  <c r="AD72" i="1"/>
  <c r="AD51" i="1"/>
  <c r="AD30" i="1"/>
  <c r="AD8" i="1"/>
  <c r="BL8" i="1"/>
  <c r="BL39" i="1"/>
  <c r="BL40" i="1"/>
  <c r="BL103" i="1"/>
  <c r="AV7" i="1"/>
  <c r="AV32" i="1"/>
  <c r="AV75" i="1"/>
  <c r="AV119" i="1"/>
  <c r="AV43" i="1"/>
  <c r="AV87" i="1"/>
  <c r="AV128" i="1"/>
  <c r="AV11" i="1"/>
  <c r="AV55" i="1"/>
  <c r="AV96" i="1"/>
  <c r="AN34" i="1"/>
  <c r="AN62" i="1"/>
  <c r="AN91" i="1"/>
  <c r="AN119" i="1"/>
  <c r="AN12" i="1"/>
  <c r="AN40" i="1"/>
  <c r="AN70" i="1"/>
  <c r="AN98" i="1"/>
  <c r="AN126" i="1"/>
  <c r="AN19" i="1"/>
  <c r="AN48" i="1"/>
  <c r="AN76" i="1"/>
  <c r="AN104" i="1"/>
  <c r="AN134" i="1"/>
  <c r="AD131" i="1"/>
  <c r="AD110" i="1"/>
  <c r="AD88" i="1"/>
  <c r="AD67" i="1"/>
  <c r="AD46" i="1"/>
  <c r="AD24" i="1"/>
  <c r="AN55" i="1"/>
  <c r="AV23" i="1"/>
  <c r="BN108" i="1"/>
  <c r="BX4" i="1"/>
  <c r="BX9" i="1"/>
  <c r="BX13" i="1"/>
  <c r="BX17" i="1"/>
  <c r="BX21" i="1"/>
  <c r="BX25" i="1"/>
  <c r="BX29" i="1"/>
  <c r="BX33" i="1"/>
  <c r="BX37" i="1"/>
  <c r="BX41" i="1"/>
  <c r="BX45" i="1"/>
  <c r="BX49" i="1"/>
  <c r="BX53" i="1"/>
  <c r="BX57" i="1"/>
  <c r="BX61" i="1"/>
  <c r="BX65" i="1"/>
  <c r="BX69" i="1"/>
  <c r="BX73" i="1"/>
  <c r="BX77" i="1"/>
  <c r="BX81" i="1"/>
  <c r="BX10" i="1"/>
  <c r="BX14" i="1"/>
  <c r="BX18" i="1"/>
  <c r="BX22" i="1"/>
  <c r="BX26" i="1"/>
  <c r="BX30" i="1"/>
  <c r="BX34" i="1"/>
  <c r="BX38" i="1"/>
  <c r="BX42" i="1"/>
  <c r="BX46" i="1"/>
  <c r="BX50" i="1"/>
  <c r="BX54" i="1"/>
  <c r="BX58" i="1"/>
  <c r="BX62" i="1"/>
  <c r="BX66" i="1"/>
  <c r="BX70" i="1"/>
  <c r="BX74" i="1"/>
  <c r="BX78" i="1"/>
  <c r="BX82" i="1"/>
  <c r="BX86" i="1"/>
  <c r="BX90" i="1"/>
  <c r="BX94" i="1"/>
  <c r="BX98" i="1"/>
  <c r="BX102" i="1"/>
  <c r="BX106" i="1"/>
  <c r="BX110" i="1"/>
  <c r="BX114" i="1"/>
  <c r="BX118" i="1"/>
  <c r="BX122" i="1"/>
  <c r="BX126" i="1"/>
  <c r="BX130" i="1"/>
  <c r="BX134" i="1"/>
  <c r="BX7" i="1"/>
  <c r="BX11" i="1"/>
  <c r="BX15" i="1"/>
  <c r="BX19" i="1"/>
  <c r="BX23" i="1"/>
  <c r="BX27" i="1"/>
  <c r="BX31" i="1"/>
  <c r="BX35" i="1"/>
  <c r="BX39" i="1"/>
  <c r="BX43" i="1"/>
  <c r="BX47" i="1"/>
  <c r="BX51" i="1"/>
  <c r="BX55" i="1"/>
  <c r="BX59" i="1"/>
  <c r="BX63" i="1"/>
  <c r="BX67" i="1"/>
  <c r="BX71" i="1"/>
  <c r="BX75" i="1"/>
  <c r="BX79" i="1"/>
  <c r="BX83" i="1"/>
  <c r="BX87" i="1"/>
  <c r="BX91" i="1"/>
  <c r="BX95" i="1"/>
  <c r="BX99" i="1"/>
  <c r="BX103" i="1"/>
  <c r="BX107" i="1"/>
  <c r="BX111" i="1"/>
  <c r="BX115" i="1"/>
  <c r="BX119" i="1"/>
  <c r="BX123" i="1"/>
  <c r="BX127" i="1"/>
  <c r="BX131" i="1"/>
  <c r="BX135" i="1"/>
  <c r="BX8" i="1"/>
  <c r="BX24" i="1"/>
  <c r="BX40" i="1"/>
  <c r="BX56" i="1"/>
  <c r="BX72" i="1"/>
  <c r="BX85" i="1"/>
  <c r="BX93" i="1"/>
  <c r="BX101" i="1"/>
  <c r="BX109" i="1"/>
  <c r="BX117" i="1"/>
  <c r="BX125" i="1"/>
  <c r="BX133" i="1"/>
  <c r="BX12" i="1"/>
  <c r="BX28" i="1"/>
  <c r="BX44" i="1"/>
  <c r="BX60" i="1"/>
  <c r="BX76" i="1"/>
  <c r="BX88" i="1"/>
  <c r="BX96" i="1"/>
  <c r="BX104" i="1"/>
  <c r="BX112" i="1"/>
  <c r="BX120" i="1"/>
  <c r="BX128" i="1"/>
  <c r="BX16" i="1"/>
  <c r="BX48" i="1"/>
  <c r="BX80" i="1"/>
  <c r="BX97" i="1"/>
  <c r="BX113" i="1"/>
  <c r="BX129" i="1"/>
  <c r="BX20" i="1"/>
  <c r="BX52" i="1"/>
  <c r="BX84" i="1"/>
  <c r="BX100" i="1"/>
  <c r="BX116" i="1"/>
  <c r="BX132" i="1"/>
  <c r="BX32" i="1"/>
  <c r="BX89" i="1"/>
  <c r="BX121" i="1"/>
  <c r="BX36" i="1"/>
  <c r="BX92" i="1"/>
  <c r="BX124" i="1"/>
  <c r="BX64" i="1"/>
  <c r="BX68" i="1"/>
  <c r="BX105" i="1"/>
  <c r="BX108" i="1"/>
  <c r="BJ4" i="1"/>
  <c r="BJ9" i="1"/>
  <c r="BJ13" i="1"/>
  <c r="BJ17" i="1"/>
  <c r="BJ21" i="1"/>
  <c r="BJ25" i="1"/>
  <c r="BJ29" i="1"/>
  <c r="BJ33" i="1"/>
  <c r="BJ37" i="1"/>
  <c r="BJ41" i="1"/>
  <c r="BJ45" i="1"/>
  <c r="BJ49" i="1"/>
  <c r="BJ53" i="1"/>
  <c r="BJ57" i="1"/>
  <c r="BJ61" i="1"/>
  <c r="BJ65" i="1"/>
  <c r="BJ69" i="1"/>
  <c r="BJ73" i="1"/>
  <c r="BJ77" i="1"/>
  <c r="BJ81" i="1"/>
  <c r="BJ85" i="1"/>
  <c r="BJ89" i="1"/>
  <c r="BJ93" i="1"/>
  <c r="BJ97" i="1"/>
  <c r="BJ101" i="1"/>
  <c r="BJ105" i="1"/>
  <c r="BJ109" i="1"/>
  <c r="BJ113" i="1"/>
  <c r="BJ117" i="1"/>
  <c r="BJ121" i="1"/>
  <c r="BJ125" i="1"/>
  <c r="BJ129" i="1"/>
  <c r="BJ133" i="1"/>
  <c r="BJ10" i="1"/>
  <c r="BJ14" i="1"/>
  <c r="BJ18" i="1"/>
  <c r="BJ22" i="1"/>
  <c r="BJ26" i="1"/>
  <c r="BJ30" i="1"/>
  <c r="BJ34" i="1"/>
  <c r="BJ38" i="1"/>
  <c r="BJ42" i="1"/>
  <c r="BJ46" i="1"/>
  <c r="BJ50" i="1"/>
  <c r="BJ54" i="1"/>
  <c r="BJ58" i="1"/>
  <c r="BJ62" i="1"/>
  <c r="BJ66" i="1"/>
  <c r="BJ70" i="1"/>
  <c r="BJ74" i="1"/>
  <c r="BJ78" i="1"/>
  <c r="BJ82" i="1"/>
  <c r="BJ86" i="1"/>
  <c r="BJ90" i="1"/>
  <c r="BJ94" i="1"/>
  <c r="BJ98" i="1"/>
  <c r="BJ102" i="1"/>
  <c r="BJ106" i="1"/>
  <c r="BJ110" i="1"/>
  <c r="BJ114" i="1"/>
  <c r="BJ118" i="1"/>
  <c r="BJ122" i="1"/>
  <c r="BJ126" i="1"/>
  <c r="BJ130" i="1"/>
  <c r="BJ134" i="1"/>
  <c r="BJ7" i="1"/>
  <c r="BJ15" i="1"/>
  <c r="BJ23" i="1"/>
  <c r="BJ31" i="1"/>
  <c r="BJ39" i="1"/>
  <c r="BJ47" i="1"/>
  <c r="BJ55" i="1"/>
  <c r="BJ63" i="1"/>
  <c r="BJ71" i="1"/>
  <c r="BJ79" i="1"/>
  <c r="BJ87" i="1"/>
  <c r="BJ95" i="1"/>
  <c r="BJ103" i="1"/>
  <c r="BJ111" i="1"/>
  <c r="BJ119" i="1"/>
  <c r="BJ127" i="1"/>
  <c r="BJ135" i="1"/>
  <c r="BJ8" i="1"/>
  <c r="BJ16" i="1"/>
  <c r="BJ24" i="1"/>
  <c r="BJ32" i="1"/>
  <c r="BJ40" i="1"/>
  <c r="BJ48" i="1"/>
  <c r="BJ56" i="1"/>
  <c r="BJ64" i="1"/>
  <c r="BJ72" i="1"/>
  <c r="BJ80" i="1"/>
  <c r="BJ88" i="1"/>
  <c r="BJ96" i="1"/>
  <c r="BJ104" i="1"/>
  <c r="BJ112" i="1"/>
  <c r="BJ120" i="1"/>
  <c r="BJ128" i="1"/>
  <c r="BJ11" i="1"/>
  <c r="BJ27" i="1"/>
  <c r="BJ43" i="1"/>
  <c r="BJ59" i="1"/>
  <c r="BJ75" i="1"/>
  <c r="BJ91" i="1"/>
  <c r="BJ107" i="1"/>
  <c r="BJ123" i="1"/>
  <c r="BJ12" i="1"/>
  <c r="BJ28" i="1"/>
  <c r="BJ44" i="1"/>
  <c r="BJ60" i="1"/>
  <c r="BJ76" i="1"/>
  <c r="BJ92" i="1"/>
  <c r="BJ108" i="1"/>
  <c r="BJ124" i="1"/>
  <c r="BJ19" i="1"/>
  <c r="BJ51" i="1"/>
  <c r="BJ83" i="1"/>
  <c r="BJ115" i="1"/>
  <c r="BJ20" i="1"/>
  <c r="BJ52" i="1"/>
  <c r="BJ84" i="1"/>
  <c r="BJ116" i="1"/>
  <c r="AX4" i="1"/>
  <c r="AX9" i="1"/>
  <c r="AX13" i="1"/>
  <c r="AX17" i="1"/>
  <c r="AX21" i="1"/>
  <c r="AX25" i="1"/>
  <c r="AX29" i="1"/>
  <c r="AX33" i="1"/>
  <c r="AX37" i="1"/>
  <c r="AX41" i="1"/>
  <c r="AX45" i="1"/>
  <c r="AX49" i="1"/>
  <c r="AX53" i="1"/>
  <c r="AX57" i="1"/>
  <c r="AX61" i="1"/>
  <c r="AX65" i="1"/>
  <c r="AX69" i="1"/>
  <c r="AX73" i="1"/>
  <c r="AX77" i="1"/>
  <c r="AX81" i="1"/>
  <c r="AX85" i="1"/>
  <c r="AX89" i="1"/>
  <c r="AX93" i="1"/>
  <c r="AX97" i="1"/>
  <c r="AX101" i="1"/>
  <c r="AX105" i="1"/>
  <c r="AX109" i="1"/>
  <c r="AX113" i="1"/>
  <c r="AX117" i="1"/>
  <c r="AX121" i="1"/>
  <c r="AX125" i="1"/>
  <c r="AX129" i="1"/>
  <c r="AX133" i="1"/>
  <c r="AX10" i="1"/>
  <c r="AX14" i="1"/>
  <c r="AX18" i="1"/>
  <c r="AX22" i="1"/>
  <c r="AX26" i="1"/>
  <c r="AX30" i="1"/>
  <c r="AX34" i="1"/>
  <c r="AX38" i="1"/>
  <c r="AX42" i="1"/>
  <c r="AX46" i="1"/>
  <c r="AX50" i="1"/>
  <c r="AX54" i="1"/>
  <c r="AX58" i="1"/>
  <c r="AX62" i="1"/>
  <c r="AX66" i="1"/>
  <c r="AX70" i="1"/>
  <c r="AX74" i="1"/>
  <c r="AX78" i="1"/>
  <c r="AX82" i="1"/>
  <c r="AX86" i="1"/>
  <c r="AX90" i="1"/>
  <c r="AX94" i="1"/>
  <c r="AX98" i="1"/>
  <c r="AX102" i="1"/>
  <c r="AX106" i="1"/>
  <c r="AX110" i="1"/>
  <c r="AX114" i="1"/>
  <c r="AX118" i="1"/>
  <c r="AX122" i="1"/>
  <c r="AX126" i="1"/>
  <c r="AX130" i="1"/>
  <c r="AX13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2" i="1"/>
  <c r="AF10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6" i="1"/>
  <c r="AF110" i="1"/>
  <c r="AF114" i="1"/>
  <c r="AF118" i="1"/>
  <c r="AF122" i="1"/>
  <c r="AF126" i="1"/>
  <c r="AF130" i="1"/>
  <c r="AF134" i="1"/>
  <c r="X134" i="1"/>
  <c r="X126" i="1"/>
  <c r="X122" i="1"/>
  <c r="X114" i="1"/>
  <c r="X110" i="1"/>
  <c r="X102" i="1"/>
  <c r="X94" i="1"/>
  <c r="X90" i="1"/>
  <c r="X82" i="1"/>
  <c r="X78" i="1"/>
  <c r="X70" i="1"/>
  <c r="X66" i="1"/>
  <c r="X58" i="1"/>
  <c r="X54" i="1"/>
  <c r="X46" i="1"/>
  <c r="X38" i="1"/>
  <c r="X26" i="1"/>
  <c r="X22" i="1"/>
  <c r="X14" i="1"/>
  <c r="X10" i="1"/>
  <c r="AF2" i="1"/>
  <c r="AF131" i="1"/>
  <c r="AF120" i="1"/>
  <c r="AF115" i="1"/>
  <c r="AF104" i="1"/>
  <c r="AF93" i="1"/>
  <c r="AF88" i="1"/>
  <c r="AF77" i="1"/>
  <c r="AF67" i="1"/>
  <c r="AF61" i="1"/>
  <c r="AF51" i="1"/>
  <c r="AF45" i="1"/>
  <c r="AF35" i="1"/>
  <c r="AF24" i="1"/>
  <c r="AF19" i="1"/>
  <c r="AF8" i="1"/>
  <c r="AP116" i="1"/>
  <c r="AP107" i="1"/>
  <c r="AP84" i="1"/>
  <c r="AP63" i="1"/>
  <c r="AP43" i="1"/>
  <c r="AP20" i="1"/>
  <c r="AX123" i="1"/>
  <c r="AX100" i="1"/>
  <c r="AX91" i="1"/>
  <c r="AX68" i="1"/>
  <c r="AX47" i="1"/>
  <c r="AX36" i="1"/>
  <c r="AX15" i="1"/>
  <c r="BD108" i="1"/>
  <c r="BD76" i="1"/>
  <c r="BD12" i="1"/>
  <c r="BJ36" i="1"/>
  <c r="BP70" i="1"/>
  <c r="BX3" i="1"/>
  <c r="BN7" i="1"/>
  <c r="BN11" i="1"/>
  <c r="BN15" i="1"/>
  <c r="BN19" i="1"/>
  <c r="BN3" i="1"/>
  <c r="BN8" i="1"/>
  <c r="BN12" i="1"/>
  <c r="BN16" i="1"/>
  <c r="BN20" i="1"/>
  <c r="BN4" i="1"/>
  <c r="BN13" i="1"/>
  <c r="BN21" i="1"/>
  <c r="BN25" i="1"/>
  <c r="BN29" i="1"/>
  <c r="BN33" i="1"/>
  <c r="BN37" i="1"/>
  <c r="BN41" i="1"/>
  <c r="BN45" i="1"/>
  <c r="BN49" i="1"/>
  <c r="BN53" i="1"/>
  <c r="BN57" i="1"/>
  <c r="BN61" i="1"/>
  <c r="BN65" i="1"/>
  <c r="BN69" i="1"/>
  <c r="BN73" i="1"/>
  <c r="BN77" i="1"/>
  <c r="BN81" i="1"/>
  <c r="BN85" i="1"/>
  <c r="BN89" i="1"/>
  <c r="BN93" i="1"/>
  <c r="BN97" i="1"/>
  <c r="BN101" i="1"/>
  <c r="BN105" i="1"/>
  <c r="BN109" i="1"/>
  <c r="BN113" i="1"/>
  <c r="BN117" i="1"/>
  <c r="BN121" i="1"/>
  <c r="BN125" i="1"/>
  <c r="BN129" i="1"/>
  <c r="BN133" i="1"/>
  <c r="BN14" i="1"/>
  <c r="BN22" i="1"/>
  <c r="BN26" i="1"/>
  <c r="BN30" i="1"/>
  <c r="BN34" i="1"/>
  <c r="BN38" i="1"/>
  <c r="BN42" i="1"/>
  <c r="BN46" i="1"/>
  <c r="BN50" i="1"/>
  <c r="BN54" i="1"/>
  <c r="BN58" i="1"/>
  <c r="BN62" i="1"/>
  <c r="BN66" i="1"/>
  <c r="BN70" i="1"/>
  <c r="BN74" i="1"/>
  <c r="BN78" i="1"/>
  <c r="BN82" i="1"/>
  <c r="BN86" i="1"/>
  <c r="BN90" i="1"/>
  <c r="BN94" i="1"/>
  <c r="BN98" i="1"/>
  <c r="BN102" i="1"/>
  <c r="BN106" i="1"/>
  <c r="BN110" i="1"/>
  <c r="BN114" i="1"/>
  <c r="BN118" i="1"/>
  <c r="BN122" i="1"/>
  <c r="BN126" i="1"/>
  <c r="BN130" i="1"/>
  <c r="BN134" i="1"/>
  <c r="BN9" i="1"/>
  <c r="BN23" i="1"/>
  <c r="BN31" i="1"/>
  <c r="BN39" i="1"/>
  <c r="BN47" i="1"/>
  <c r="BN55" i="1"/>
  <c r="BN63" i="1"/>
  <c r="BN71" i="1"/>
  <c r="BN79" i="1"/>
  <c r="BN87" i="1"/>
  <c r="BN95" i="1"/>
  <c r="BN103" i="1"/>
  <c r="BN111" i="1"/>
  <c r="BN119" i="1"/>
  <c r="BN127" i="1"/>
  <c r="BN135" i="1"/>
  <c r="BN10" i="1"/>
  <c r="BN24" i="1"/>
  <c r="BN32" i="1"/>
  <c r="BN40" i="1"/>
  <c r="BN48" i="1"/>
  <c r="BN56" i="1"/>
  <c r="BN64" i="1"/>
  <c r="BN72" i="1"/>
  <c r="BN80" i="1"/>
  <c r="BN88" i="1"/>
  <c r="BN96" i="1"/>
  <c r="BN104" i="1"/>
  <c r="BN112" i="1"/>
  <c r="BN120" i="1"/>
  <c r="BN128" i="1"/>
  <c r="BN17" i="1"/>
  <c r="BN35" i="1"/>
  <c r="BN51" i="1"/>
  <c r="BN67" i="1"/>
  <c r="BN83" i="1"/>
  <c r="BN99" i="1"/>
  <c r="BN115" i="1"/>
  <c r="BN131" i="1"/>
  <c r="BN18" i="1"/>
  <c r="BN36" i="1"/>
  <c r="BN52" i="1"/>
  <c r="BN68" i="1"/>
  <c r="BN84" i="1"/>
  <c r="BN100" i="1"/>
  <c r="BN116" i="1"/>
  <c r="BN132" i="1"/>
  <c r="BN27" i="1"/>
  <c r="BN59" i="1"/>
  <c r="BN91" i="1"/>
  <c r="BN123" i="1"/>
  <c r="BN28" i="1"/>
  <c r="BN60" i="1"/>
  <c r="BN92" i="1"/>
  <c r="BN124" i="1"/>
  <c r="BB4" i="1"/>
  <c r="BB9" i="1"/>
  <c r="BB13" i="1"/>
  <c r="BB17" i="1"/>
  <c r="BB21" i="1"/>
  <c r="BB25" i="1"/>
  <c r="BB29" i="1"/>
  <c r="BB33" i="1"/>
  <c r="BB37" i="1"/>
  <c r="BB41" i="1"/>
  <c r="BB45" i="1"/>
  <c r="BB49" i="1"/>
  <c r="BB53" i="1"/>
  <c r="BB57" i="1"/>
  <c r="BB61" i="1"/>
  <c r="BB65" i="1"/>
  <c r="BB69" i="1"/>
  <c r="BB73" i="1"/>
  <c r="BB77" i="1"/>
  <c r="BB10" i="1"/>
  <c r="BB14" i="1"/>
  <c r="BB18" i="1"/>
  <c r="BB22" i="1"/>
  <c r="BB26" i="1"/>
  <c r="BB30" i="1"/>
  <c r="BB34" i="1"/>
  <c r="BB38" i="1"/>
  <c r="BB42" i="1"/>
  <c r="BB46" i="1"/>
  <c r="BB50" i="1"/>
  <c r="BB54" i="1"/>
  <c r="BB58" i="1"/>
  <c r="BB62" i="1"/>
  <c r="BB66" i="1"/>
  <c r="BB70" i="1"/>
  <c r="BB74" i="1"/>
  <c r="BB78" i="1"/>
  <c r="BB11" i="1"/>
  <c r="BB19" i="1"/>
  <c r="BB27" i="1"/>
  <c r="BB35" i="1"/>
  <c r="BB43" i="1"/>
  <c r="BB51" i="1"/>
  <c r="BB59" i="1"/>
  <c r="BB67" i="1"/>
  <c r="BB75" i="1"/>
  <c r="BB81" i="1"/>
  <c r="BB85" i="1"/>
  <c r="BB89" i="1"/>
  <c r="BB93" i="1"/>
  <c r="BB97" i="1"/>
  <c r="BB101" i="1"/>
  <c r="BB105" i="1"/>
  <c r="BB109" i="1"/>
  <c r="BB113" i="1"/>
  <c r="BB117" i="1"/>
  <c r="BB121" i="1"/>
  <c r="BB125" i="1"/>
  <c r="BB129" i="1"/>
  <c r="BB133" i="1"/>
  <c r="BB3" i="1"/>
  <c r="BB12" i="1"/>
  <c r="BB20" i="1"/>
  <c r="BB28" i="1"/>
  <c r="BB36" i="1"/>
  <c r="BB44" i="1"/>
  <c r="BB52" i="1"/>
  <c r="BB60" i="1"/>
  <c r="BB68" i="1"/>
  <c r="BB76" i="1"/>
  <c r="BB82" i="1"/>
  <c r="BB86" i="1"/>
  <c r="BB90" i="1"/>
  <c r="BB94" i="1"/>
  <c r="BB98" i="1"/>
  <c r="BB102" i="1"/>
  <c r="BB106" i="1"/>
  <c r="BB110" i="1"/>
  <c r="BB114" i="1"/>
  <c r="BB118" i="1"/>
  <c r="BB122" i="1"/>
  <c r="BB126" i="1"/>
  <c r="BB130" i="1"/>
  <c r="BB134" i="1"/>
  <c r="BB15" i="1"/>
  <c r="BB31" i="1"/>
  <c r="BB47" i="1"/>
  <c r="BB63" i="1"/>
  <c r="BB79" i="1"/>
  <c r="BB87" i="1"/>
  <c r="BB95" i="1"/>
  <c r="BB103" i="1"/>
  <c r="BB16" i="1"/>
  <c r="BB32" i="1"/>
  <c r="BB48" i="1"/>
  <c r="BB64" i="1"/>
  <c r="BB80" i="1"/>
  <c r="BB88" i="1"/>
  <c r="BB96" i="1"/>
  <c r="BB104" i="1"/>
  <c r="BB112" i="1"/>
  <c r="BB120" i="1"/>
  <c r="BB128" i="1"/>
  <c r="AN4" i="1"/>
  <c r="AN9" i="1"/>
  <c r="AN13" i="1"/>
  <c r="AN17" i="1"/>
  <c r="AN21" i="1"/>
  <c r="AN25" i="1"/>
  <c r="AN29" i="1"/>
  <c r="AN33" i="1"/>
  <c r="AN37" i="1"/>
  <c r="AN41" i="1"/>
  <c r="AN45" i="1"/>
  <c r="AN49" i="1"/>
  <c r="AN53" i="1"/>
  <c r="AN57" i="1"/>
  <c r="AN61" i="1"/>
  <c r="AN65" i="1"/>
  <c r="AN69" i="1"/>
  <c r="AN73" i="1"/>
  <c r="AN77" i="1"/>
  <c r="AN81" i="1"/>
  <c r="AN85" i="1"/>
  <c r="AN89" i="1"/>
  <c r="AN93" i="1"/>
  <c r="AN97" i="1"/>
  <c r="AN101" i="1"/>
  <c r="AN105" i="1"/>
  <c r="AN109" i="1"/>
  <c r="AN113" i="1"/>
  <c r="AN117" i="1"/>
  <c r="AN121" i="1"/>
  <c r="AN125" i="1"/>
  <c r="AN129" i="1"/>
  <c r="AN133" i="1"/>
  <c r="AN2" i="1"/>
  <c r="AN3" i="1"/>
  <c r="AN10" i="1"/>
  <c r="AN15" i="1"/>
  <c r="AN20" i="1"/>
  <c r="AN26" i="1"/>
  <c r="AN31" i="1"/>
  <c r="AN36" i="1"/>
  <c r="AN42" i="1"/>
  <c r="AN47" i="1"/>
  <c r="AN52" i="1"/>
  <c r="AN58" i="1"/>
  <c r="AN63" i="1"/>
  <c r="AN68" i="1"/>
  <c r="AN74" i="1"/>
  <c r="AN79" i="1"/>
  <c r="AN84" i="1"/>
  <c r="AN90" i="1"/>
  <c r="AN95" i="1"/>
  <c r="AN100" i="1"/>
  <c r="AN106" i="1"/>
  <c r="AN111" i="1"/>
  <c r="AN116" i="1"/>
  <c r="AN122" i="1"/>
  <c r="AN127" i="1"/>
  <c r="AN132" i="1"/>
  <c r="X133" i="1"/>
  <c r="X125" i="1"/>
  <c r="X121" i="1"/>
  <c r="X113" i="1"/>
  <c r="X105" i="1"/>
  <c r="X101" i="1"/>
  <c r="X93" i="1"/>
  <c r="X85" i="1"/>
  <c r="X81" i="1"/>
  <c r="X73" i="1"/>
  <c r="X65" i="1"/>
  <c r="X61" i="1"/>
  <c r="X53" i="1"/>
  <c r="X45" i="1"/>
  <c r="X41" i="1"/>
  <c r="X33" i="1"/>
  <c r="X25" i="1"/>
  <c r="X21" i="1"/>
  <c r="X13" i="1"/>
  <c r="X9" i="1"/>
  <c r="AD130" i="1"/>
  <c r="AD119" i="1"/>
  <c r="AD114" i="1"/>
  <c r="AD103" i="1"/>
  <c r="AD92" i="1"/>
  <c r="AD87" i="1"/>
  <c r="AD76" i="1"/>
  <c r="AD66" i="1"/>
  <c r="AD60" i="1"/>
  <c r="AD50" i="1"/>
  <c r="AD44" i="1"/>
  <c r="AD34" i="1"/>
  <c r="AD28" i="1"/>
  <c r="AD23" i="1"/>
  <c r="AD12" i="1"/>
  <c r="AD7" i="1"/>
  <c r="AF129" i="1"/>
  <c r="AF119" i="1"/>
  <c r="AF113" i="1"/>
  <c r="AF103" i="1"/>
  <c r="AF97" i="1"/>
  <c r="AF87" i="1"/>
  <c r="AF76" i="1"/>
  <c r="AF71" i="1"/>
  <c r="AF60" i="1"/>
  <c r="AF55" i="1"/>
  <c r="AF49" i="1"/>
  <c r="AF39" i="1"/>
  <c r="AF33" i="1"/>
  <c r="AF23" i="1"/>
  <c r="AF12" i="1"/>
  <c r="AP2" i="1"/>
  <c r="BP2" i="1"/>
  <c r="AN124" i="1"/>
  <c r="AN118" i="1"/>
  <c r="AN103" i="1"/>
  <c r="AN96" i="1"/>
  <c r="AN82" i="1"/>
  <c r="AN67" i="1"/>
  <c r="AN54" i="1"/>
  <c r="AN46" i="1"/>
  <c r="AN32" i="1"/>
  <c r="AN24" i="1"/>
  <c r="AN11" i="1"/>
  <c r="AP135" i="1"/>
  <c r="AP124" i="1"/>
  <c r="AP103" i="1"/>
  <c r="AP92" i="1"/>
  <c r="AP71" i="1"/>
  <c r="AP60" i="1"/>
  <c r="AP39" i="1"/>
  <c r="AP28" i="1"/>
  <c r="AP7" i="1"/>
  <c r="AV127" i="1"/>
  <c r="AV104" i="1"/>
  <c r="AV95" i="1"/>
  <c r="AV72" i="1"/>
  <c r="AV51" i="1"/>
  <c r="AV31" i="1"/>
  <c r="AV19" i="1"/>
  <c r="AX131" i="1"/>
  <c r="AX119" i="1"/>
  <c r="AX99" i="1"/>
  <c r="AX87" i="1"/>
  <c r="AX67" i="1"/>
  <c r="AX44" i="1"/>
  <c r="AX35" i="1"/>
  <c r="AX23" i="1"/>
  <c r="BB116" i="1"/>
  <c r="BB107" i="1"/>
  <c r="BB71" i="1"/>
  <c r="BB39" i="1"/>
  <c r="BD107" i="1"/>
  <c r="BD75" i="1"/>
  <c r="BD11" i="1"/>
  <c r="BH95" i="1"/>
  <c r="BJ99" i="1"/>
  <c r="BJ35" i="1"/>
  <c r="BN107" i="1"/>
  <c r="BT7" i="1"/>
  <c r="BT11" i="1"/>
  <c r="BT15" i="1"/>
  <c r="BT19" i="1"/>
  <c r="BT23" i="1"/>
  <c r="BT27" i="1"/>
  <c r="BT31" i="1"/>
  <c r="BT35" i="1"/>
  <c r="BT39" i="1"/>
  <c r="BT43" i="1"/>
  <c r="BT47" i="1"/>
  <c r="BT51" i="1"/>
  <c r="BT55" i="1"/>
  <c r="BT59" i="1"/>
  <c r="BT63" i="1"/>
  <c r="BT67" i="1"/>
  <c r="BT71" i="1"/>
  <c r="BT75" i="1"/>
  <c r="BT79" i="1"/>
  <c r="BT12" i="1"/>
  <c r="BT17" i="1"/>
  <c r="BT22" i="1"/>
  <c r="BT28" i="1"/>
  <c r="BT33" i="1"/>
  <c r="BT38" i="1"/>
  <c r="BT44" i="1"/>
  <c r="BT49" i="1"/>
  <c r="BT54" i="1"/>
  <c r="BT60" i="1"/>
  <c r="BT65" i="1"/>
  <c r="BT70" i="1"/>
  <c r="BT76" i="1"/>
  <c r="BT81" i="1"/>
  <c r="BT85" i="1"/>
  <c r="BT89" i="1"/>
  <c r="BT93" i="1"/>
  <c r="BT97" i="1"/>
  <c r="BT101" i="1"/>
  <c r="BT105" i="1"/>
  <c r="BT109" i="1"/>
  <c r="BT113" i="1"/>
  <c r="BT117" i="1"/>
  <c r="BT121" i="1"/>
  <c r="BT125" i="1"/>
  <c r="BT129" i="1"/>
  <c r="BT133" i="1"/>
  <c r="BT8" i="1"/>
  <c r="BT13" i="1"/>
  <c r="BT18" i="1"/>
  <c r="BT24" i="1"/>
  <c r="BT29" i="1"/>
  <c r="BT34" i="1"/>
  <c r="BT40" i="1"/>
  <c r="BT45" i="1"/>
  <c r="BT50" i="1"/>
  <c r="BT56" i="1"/>
  <c r="BT61" i="1"/>
  <c r="BT66" i="1"/>
  <c r="BT72" i="1"/>
  <c r="BT77" i="1"/>
  <c r="BT82" i="1"/>
  <c r="BT86" i="1"/>
  <c r="BT90" i="1"/>
  <c r="BT94" i="1"/>
  <c r="BT98" i="1"/>
  <c r="BT102" i="1"/>
  <c r="BT106" i="1"/>
  <c r="BT110" i="1"/>
  <c r="BT114" i="1"/>
  <c r="BT118" i="1"/>
  <c r="BT122" i="1"/>
  <c r="BT126" i="1"/>
  <c r="BT130" i="1"/>
  <c r="BT134" i="1"/>
  <c r="BT3" i="1"/>
  <c r="BT14" i="1"/>
  <c r="BT25" i="1"/>
  <c r="BT36" i="1"/>
  <c r="BT46" i="1"/>
  <c r="BT57" i="1"/>
  <c r="BT68" i="1"/>
  <c r="BT78" i="1"/>
  <c r="BT87" i="1"/>
  <c r="BT95" i="1"/>
  <c r="BT103" i="1"/>
  <c r="BT111" i="1"/>
  <c r="BT119" i="1"/>
  <c r="BT127" i="1"/>
  <c r="BT135" i="1"/>
  <c r="BT4" i="1"/>
  <c r="BT16" i="1"/>
  <c r="BT26" i="1"/>
  <c r="BT37" i="1"/>
  <c r="BT48" i="1"/>
  <c r="BT58" i="1"/>
  <c r="BT69" i="1"/>
  <c r="BT80" i="1"/>
  <c r="BT88" i="1"/>
  <c r="BT96" i="1"/>
  <c r="BT104" i="1"/>
  <c r="BT112" i="1"/>
  <c r="BT120" i="1"/>
  <c r="BT128" i="1"/>
  <c r="BT9" i="1"/>
  <c r="BT30" i="1"/>
  <c r="BT52" i="1"/>
  <c r="BT73" i="1"/>
  <c r="BT91" i="1"/>
  <c r="BT107" i="1"/>
  <c r="BT123" i="1"/>
  <c r="BT10" i="1"/>
  <c r="BT32" i="1"/>
  <c r="BT53" i="1"/>
  <c r="BT74" i="1"/>
  <c r="BT92" i="1"/>
  <c r="BT108" i="1"/>
  <c r="BT124" i="1"/>
  <c r="BT41" i="1"/>
  <c r="BT83" i="1"/>
  <c r="BT115" i="1"/>
  <c r="BT42" i="1"/>
  <c r="BT84" i="1"/>
  <c r="BT116" i="1"/>
  <c r="BT62" i="1"/>
  <c r="BT131" i="1"/>
  <c r="BT2" i="1"/>
  <c r="BT64" i="1"/>
  <c r="BT132" i="1"/>
  <c r="BT99" i="1"/>
  <c r="BT100" i="1"/>
  <c r="AT4" i="1"/>
  <c r="AT9" i="1"/>
  <c r="AT13" i="1"/>
  <c r="AT17" i="1"/>
  <c r="AT21" i="1"/>
  <c r="AT25" i="1"/>
  <c r="AT29" i="1"/>
  <c r="AT33" i="1"/>
  <c r="AT37" i="1"/>
  <c r="AT41" i="1"/>
  <c r="AT45" i="1"/>
  <c r="AT49" i="1"/>
  <c r="AT53" i="1"/>
  <c r="AT57" i="1"/>
  <c r="AT61" i="1"/>
  <c r="AT65" i="1"/>
  <c r="AT69" i="1"/>
  <c r="AT73" i="1"/>
  <c r="AT77" i="1"/>
  <c r="AT81" i="1"/>
  <c r="AT85" i="1"/>
  <c r="AT89" i="1"/>
  <c r="AT93" i="1"/>
  <c r="AT97" i="1"/>
  <c r="AT101" i="1"/>
  <c r="AT105" i="1"/>
  <c r="AT109" i="1"/>
  <c r="AT113" i="1"/>
  <c r="AT117" i="1"/>
  <c r="AT121" i="1"/>
  <c r="AT125" i="1"/>
  <c r="AT129" i="1"/>
  <c r="AT133" i="1"/>
  <c r="AT10" i="1"/>
  <c r="AT14" i="1"/>
  <c r="AT18" i="1"/>
  <c r="AT22" i="1"/>
  <c r="AT26" i="1"/>
  <c r="AT30" i="1"/>
  <c r="AT34" i="1"/>
  <c r="AT38" i="1"/>
  <c r="AT42" i="1"/>
  <c r="AT46" i="1"/>
  <c r="AT50" i="1"/>
  <c r="AT54" i="1"/>
  <c r="AT58" i="1"/>
  <c r="AT62" i="1"/>
  <c r="AT66" i="1"/>
  <c r="AT70" i="1"/>
  <c r="AT74" i="1"/>
  <c r="AT78" i="1"/>
  <c r="AT82" i="1"/>
  <c r="AT86" i="1"/>
  <c r="AT90" i="1"/>
  <c r="AT94" i="1"/>
  <c r="AT98" i="1"/>
  <c r="AT102" i="1"/>
  <c r="AT106" i="1"/>
  <c r="AT110" i="1"/>
  <c r="AT114" i="1"/>
  <c r="AT118" i="1"/>
  <c r="AT122" i="1"/>
  <c r="AT126" i="1"/>
  <c r="AT130" i="1"/>
  <c r="AT134" i="1"/>
  <c r="AT8" i="1"/>
  <c r="AT16" i="1"/>
  <c r="AT24" i="1"/>
  <c r="AT32" i="1"/>
  <c r="AT40" i="1"/>
  <c r="AT48" i="1"/>
  <c r="AT56" i="1"/>
  <c r="AT64" i="1"/>
  <c r="AT72" i="1"/>
  <c r="AT80" i="1"/>
  <c r="AT88" i="1"/>
  <c r="AT96" i="1"/>
  <c r="AT104" i="1"/>
  <c r="AT112" i="1"/>
  <c r="AT120" i="1"/>
  <c r="AT128" i="1"/>
  <c r="X128" i="1"/>
  <c r="X120" i="1"/>
  <c r="X112" i="1"/>
  <c r="X104" i="1"/>
  <c r="X96" i="1"/>
  <c r="X88" i="1"/>
  <c r="X80" i="1"/>
  <c r="X72" i="1"/>
  <c r="X64" i="1"/>
  <c r="X56" i="1"/>
  <c r="X48" i="1"/>
  <c r="X44" i="1"/>
  <c r="X36" i="1"/>
  <c r="X32" i="1"/>
  <c r="X28" i="1"/>
  <c r="X20" i="1"/>
  <c r="X8" i="1"/>
  <c r="AB129" i="1"/>
  <c r="AB118" i="1"/>
  <c r="AB113" i="1"/>
  <c r="AB102" i="1"/>
  <c r="AB97" i="1"/>
  <c r="AB91" i="1"/>
  <c r="AB81" i="1"/>
  <c r="AB70" i="1"/>
  <c r="AB59" i="1"/>
  <c r="AB43" i="1"/>
  <c r="AB38" i="1"/>
  <c r="AB27" i="1"/>
  <c r="AB22" i="1"/>
  <c r="AD134" i="1"/>
  <c r="AD123" i="1"/>
  <c r="AD112" i="1"/>
  <c r="AD107" i="1"/>
  <c r="AD102" i="1"/>
  <c r="AD91" i="1"/>
  <c r="AD86" i="1"/>
  <c r="AD75" i="1"/>
  <c r="AD64" i="1"/>
  <c r="AD54" i="1"/>
  <c r="AD43" i="1"/>
  <c r="AD32" i="1"/>
  <c r="AD27" i="1"/>
  <c r="AD16" i="1"/>
  <c r="AF128" i="1"/>
  <c r="AF117" i="1"/>
  <c r="AF107" i="1"/>
  <c r="AF96" i="1"/>
  <c r="AF85" i="1"/>
  <c r="AF80" i="1"/>
  <c r="AF69" i="1"/>
  <c r="AF64" i="1"/>
  <c r="AF59" i="1"/>
  <c r="AF48" i="1"/>
  <c r="AF37" i="1"/>
  <c r="AF32" i="1"/>
  <c r="AF21" i="1"/>
  <c r="AF11" i="1"/>
  <c r="AL2" i="1"/>
  <c r="AL131" i="1"/>
  <c r="AL125" i="1"/>
  <c r="AL120" i="1"/>
  <c r="AL115" i="1"/>
  <c r="AL109" i="1"/>
  <c r="AL104" i="1"/>
  <c r="AL99" i="1"/>
  <c r="AL93" i="1"/>
  <c r="AL88" i="1"/>
  <c r="AL83" i="1"/>
  <c r="AL77" i="1"/>
  <c r="AL72" i="1"/>
  <c r="AL67" i="1"/>
  <c r="AL61" i="1"/>
  <c r="AL56" i="1"/>
  <c r="AL51" i="1"/>
  <c r="AL45" i="1"/>
  <c r="AL40" i="1"/>
  <c r="AL35" i="1"/>
  <c r="AL29" i="1"/>
  <c r="AL22" i="1"/>
  <c r="AL16" i="1"/>
  <c r="AN130" i="1"/>
  <c r="AN123" i="1"/>
  <c r="AN115" i="1"/>
  <c r="AN108" i="1"/>
  <c r="AN102" i="1"/>
  <c r="AN94" i="1"/>
  <c r="AN87" i="1"/>
  <c r="AN80" i="1"/>
  <c r="AN72" i="1"/>
  <c r="AN66" i="1"/>
  <c r="AN59" i="1"/>
  <c r="AN44" i="1"/>
  <c r="AN38" i="1"/>
  <c r="AN30" i="1"/>
  <c r="AN23" i="1"/>
  <c r="AN16" i="1"/>
  <c r="AN8" i="1"/>
  <c r="AP132" i="1"/>
  <c r="AP123" i="1"/>
  <c r="AP111" i="1"/>
  <c r="AP100" i="1"/>
  <c r="AP91" i="1"/>
  <c r="AP79" i="1"/>
  <c r="AP68" i="1"/>
  <c r="AP59" i="1"/>
  <c r="AP47" i="1"/>
  <c r="AP36" i="1"/>
  <c r="AP27" i="1"/>
  <c r="AP15" i="1"/>
  <c r="AT131" i="1"/>
  <c r="AT119" i="1"/>
  <c r="AT108" i="1"/>
  <c r="AT99" i="1"/>
  <c r="AT87" i="1"/>
  <c r="AT76" i="1"/>
  <c r="AT67" i="1"/>
  <c r="AT55" i="1"/>
  <c r="AT44" i="1"/>
  <c r="AT35" i="1"/>
  <c r="AT23" i="1"/>
  <c r="AT12" i="1"/>
  <c r="AV135" i="1"/>
  <c r="AV123" i="1"/>
  <c r="AV112" i="1"/>
  <c r="AV103" i="1"/>
  <c r="AV91" i="1"/>
  <c r="AV80" i="1"/>
  <c r="AV71" i="1"/>
  <c r="AV59" i="1"/>
  <c r="AV48" i="1"/>
  <c r="AV39" i="1"/>
  <c r="AV27" i="1"/>
  <c r="AV16" i="1"/>
  <c r="AX127" i="1"/>
  <c r="AX116" i="1"/>
  <c r="AX107" i="1"/>
  <c r="AX95" i="1"/>
  <c r="AX84" i="1"/>
  <c r="AX75" i="1"/>
  <c r="AX63" i="1"/>
  <c r="AX52" i="1"/>
  <c r="AX43" i="1"/>
  <c r="AX31" i="1"/>
  <c r="AX20" i="1"/>
  <c r="AX11" i="1"/>
  <c r="AZ131" i="1"/>
  <c r="AZ120" i="1"/>
  <c r="AZ111" i="1"/>
  <c r="AZ99" i="1"/>
  <c r="AZ88" i="1"/>
  <c r="AZ79" i="1"/>
  <c r="AZ67" i="1"/>
  <c r="AZ56" i="1"/>
  <c r="AZ47" i="1"/>
  <c r="AZ35" i="1"/>
  <c r="AZ24" i="1"/>
  <c r="BB135" i="1"/>
  <c r="BB124" i="1"/>
  <c r="BB115" i="1"/>
  <c r="BB100" i="1"/>
  <c r="BB84" i="1"/>
  <c r="BB56" i="1"/>
  <c r="BB24" i="1"/>
  <c r="BD124" i="1"/>
  <c r="BD92" i="1"/>
  <c r="BD60" i="1"/>
  <c r="BF128" i="1"/>
  <c r="BF96" i="1"/>
  <c r="BF64" i="1"/>
  <c r="BH128" i="1"/>
  <c r="BJ132" i="1"/>
  <c r="BJ68" i="1"/>
  <c r="BJ3" i="1"/>
  <c r="BL72" i="1"/>
  <c r="BN76" i="1"/>
  <c r="BP134" i="1"/>
  <c r="BT21" i="1"/>
  <c r="BP7" i="1"/>
  <c r="BP11" i="1"/>
  <c r="BP15" i="1"/>
  <c r="BP19" i="1"/>
  <c r="BP23" i="1"/>
  <c r="BP27" i="1"/>
  <c r="BP31" i="1"/>
  <c r="BP35" i="1"/>
  <c r="BP39" i="1"/>
  <c r="BP43" i="1"/>
  <c r="BP47" i="1"/>
  <c r="BP51" i="1"/>
  <c r="BP55" i="1"/>
  <c r="BP59" i="1"/>
  <c r="BP63" i="1"/>
  <c r="BP67" i="1"/>
  <c r="BP71" i="1"/>
  <c r="BP75" i="1"/>
  <c r="BP79" i="1"/>
  <c r="BP83" i="1"/>
  <c r="BP87" i="1"/>
  <c r="BP91" i="1"/>
  <c r="BP95" i="1"/>
  <c r="BP99" i="1"/>
  <c r="BP103" i="1"/>
  <c r="BP107" i="1"/>
  <c r="BP111" i="1"/>
  <c r="BP115" i="1"/>
  <c r="BP119" i="1"/>
  <c r="BP123" i="1"/>
  <c r="BP127" i="1"/>
  <c r="BP131" i="1"/>
  <c r="BP135" i="1"/>
  <c r="BP3" i="1"/>
  <c r="BP8" i="1"/>
  <c r="BP12" i="1"/>
  <c r="BP16" i="1"/>
  <c r="BP20" i="1"/>
  <c r="BP24" i="1"/>
  <c r="BP28" i="1"/>
  <c r="BP32" i="1"/>
  <c r="BP36" i="1"/>
  <c r="BP40" i="1"/>
  <c r="BP44" i="1"/>
  <c r="BP48" i="1"/>
  <c r="BP52" i="1"/>
  <c r="BP56" i="1"/>
  <c r="BP60" i="1"/>
  <c r="BP64" i="1"/>
  <c r="BP68" i="1"/>
  <c r="BP72" i="1"/>
  <c r="BP76" i="1"/>
  <c r="BP80" i="1"/>
  <c r="BP84" i="1"/>
  <c r="BP88" i="1"/>
  <c r="BP92" i="1"/>
  <c r="BP96" i="1"/>
  <c r="BP100" i="1"/>
  <c r="BP104" i="1"/>
  <c r="BP108" i="1"/>
  <c r="BP112" i="1"/>
  <c r="BP116" i="1"/>
  <c r="BP120" i="1"/>
  <c r="BP124" i="1"/>
  <c r="BP128" i="1"/>
  <c r="BP132" i="1"/>
  <c r="BP9" i="1"/>
  <c r="BP17" i="1"/>
  <c r="BP25" i="1"/>
  <c r="BP33" i="1"/>
  <c r="BP41" i="1"/>
  <c r="BP49" i="1"/>
  <c r="BP57" i="1"/>
  <c r="BP65" i="1"/>
  <c r="BP73" i="1"/>
  <c r="BP81" i="1"/>
  <c r="BP89" i="1"/>
  <c r="BP97" i="1"/>
  <c r="BP105" i="1"/>
  <c r="BP113" i="1"/>
  <c r="BP121" i="1"/>
  <c r="BP129" i="1"/>
  <c r="BP10" i="1"/>
  <c r="BP18" i="1"/>
  <c r="BP26" i="1"/>
  <c r="BP34" i="1"/>
  <c r="BP42" i="1"/>
  <c r="BP50" i="1"/>
  <c r="BP58" i="1"/>
  <c r="BP66" i="1"/>
  <c r="BP74" i="1"/>
  <c r="BP82" i="1"/>
  <c r="BP90" i="1"/>
  <c r="BP98" i="1"/>
  <c r="BP106" i="1"/>
  <c r="BP114" i="1"/>
  <c r="BP122" i="1"/>
  <c r="BP130" i="1"/>
  <c r="BP13" i="1"/>
  <c r="BP29" i="1"/>
  <c r="BP45" i="1"/>
  <c r="BP61" i="1"/>
  <c r="BP77" i="1"/>
  <c r="BP93" i="1"/>
  <c r="BP109" i="1"/>
  <c r="BP125" i="1"/>
  <c r="BP14" i="1"/>
  <c r="BP30" i="1"/>
  <c r="BP46" i="1"/>
  <c r="BP62" i="1"/>
  <c r="BP78" i="1"/>
  <c r="BP94" i="1"/>
  <c r="BP110" i="1"/>
  <c r="BP126" i="1"/>
  <c r="BP21" i="1"/>
  <c r="BP53" i="1"/>
  <c r="BP85" i="1"/>
  <c r="BP117" i="1"/>
  <c r="BP22" i="1"/>
  <c r="BP54" i="1"/>
  <c r="BP86" i="1"/>
  <c r="BP118" i="1"/>
  <c r="BP37" i="1"/>
  <c r="BP101" i="1"/>
  <c r="BP38" i="1"/>
  <c r="BP102" i="1"/>
  <c r="BD4" i="1"/>
  <c r="BD9" i="1"/>
  <c r="BD13" i="1"/>
  <c r="BD17" i="1"/>
  <c r="BD21" i="1"/>
  <c r="BD25" i="1"/>
  <c r="BD29" i="1"/>
  <c r="BD33" i="1"/>
  <c r="BD37" i="1"/>
  <c r="BD41" i="1"/>
  <c r="BD45" i="1"/>
  <c r="BD49" i="1"/>
  <c r="BD53" i="1"/>
  <c r="BD57" i="1"/>
  <c r="BD61" i="1"/>
  <c r="BD65" i="1"/>
  <c r="BD69" i="1"/>
  <c r="BD73" i="1"/>
  <c r="BD77" i="1"/>
  <c r="BD81" i="1"/>
  <c r="BD85" i="1"/>
  <c r="BD89" i="1"/>
  <c r="BD93" i="1"/>
  <c r="BD97" i="1"/>
  <c r="BD101" i="1"/>
  <c r="BD105" i="1"/>
  <c r="BD109" i="1"/>
  <c r="BD113" i="1"/>
  <c r="BD117" i="1"/>
  <c r="BD121" i="1"/>
  <c r="BD125" i="1"/>
  <c r="BD129" i="1"/>
  <c r="BD133" i="1"/>
  <c r="BD10" i="1"/>
  <c r="BD14" i="1"/>
  <c r="BD18" i="1"/>
  <c r="BD22" i="1"/>
  <c r="BD26" i="1"/>
  <c r="BD30" i="1"/>
  <c r="BD34" i="1"/>
  <c r="BD38" i="1"/>
  <c r="BD42" i="1"/>
  <c r="BD46" i="1"/>
  <c r="BD50" i="1"/>
  <c r="BD54" i="1"/>
  <c r="BD58" i="1"/>
  <c r="BD62" i="1"/>
  <c r="BD66" i="1"/>
  <c r="BD70" i="1"/>
  <c r="BD74" i="1"/>
  <c r="BD78" i="1"/>
  <c r="BD82" i="1"/>
  <c r="BD86" i="1"/>
  <c r="BD90" i="1"/>
  <c r="BD94" i="1"/>
  <c r="BD98" i="1"/>
  <c r="BD102" i="1"/>
  <c r="BD106" i="1"/>
  <c r="BD110" i="1"/>
  <c r="BD114" i="1"/>
  <c r="BD118" i="1"/>
  <c r="BD122" i="1"/>
  <c r="BD126" i="1"/>
  <c r="BD130" i="1"/>
  <c r="BD134" i="1"/>
  <c r="BD7" i="1"/>
  <c r="BD15" i="1"/>
  <c r="BD23" i="1"/>
  <c r="BD31" i="1"/>
  <c r="BD39" i="1"/>
  <c r="BD47" i="1"/>
  <c r="BD55" i="1"/>
  <c r="BD63" i="1"/>
  <c r="BD71" i="1"/>
  <c r="BD79" i="1"/>
  <c r="BD87" i="1"/>
  <c r="BD95" i="1"/>
  <c r="BD103" i="1"/>
  <c r="BD111" i="1"/>
  <c r="BD119" i="1"/>
  <c r="BD127" i="1"/>
  <c r="BD135" i="1"/>
  <c r="BD2" i="1"/>
  <c r="BD8" i="1"/>
  <c r="BD16" i="1"/>
  <c r="BD24" i="1"/>
  <c r="BD32" i="1"/>
  <c r="BD40" i="1"/>
  <c r="BD48" i="1"/>
  <c r="BD56" i="1"/>
  <c r="BD64" i="1"/>
  <c r="BD72" i="1"/>
  <c r="BD80" i="1"/>
  <c r="BD88" i="1"/>
  <c r="BD96" i="1"/>
  <c r="BD104" i="1"/>
  <c r="BD112" i="1"/>
  <c r="BD120" i="1"/>
  <c r="BD128" i="1"/>
  <c r="BD19" i="1"/>
  <c r="BD35" i="1"/>
  <c r="BD51" i="1"/>
  <c r="BD67" i="1"/>
  <c r="BD83" i="1"/>
  <c r="BD99" i="1"/>
  <c r="BD115" i="1"/>
  <c r="BD131" i="1"/>
  <c r="BD3" i="1"/>
  <c r="BD20" i="1"/>
  <c r="BD36" i="1"/>
  <c r="BD52" i="1"/>
  <c r="BD68" i="1"/>
  <c r="BD84" i="1"/>
  <c r="BD100" i="1"/>
  <c r="BD116" i="1"/>
  <c r="BD132" i="1"/>
  <c r="AP4" i="1"/>
  <c r="AP9" i="1"/>
  <c r="AP13" i="1"/>
  <c r="AP17" i="1"/>
  <c r="AP21" i="1"/>
  <c r="AP25" i="1"/>
  <c r="AP29" i="1"/>
  <c r="AP33" i="1"/>
  <c r="AP37" i="1"/>
  <c r="AP41" i="1"/>
  <c r="AP45" i="1"/>
  <c r="AP49" i="1"/>
  <c r="AP53" i="1"/>
  <c r="AP57" i="1"/>
  <c r="AP61" i="1"/>
  <c r="AP65" i="1"/>
  <c r="AP69" i="1"/>
  <c r="AP73" i="1"/>
  <c r="AP77" i="1"/>
  <c r="AP81" i="1"/>
  <c r="AP85" i="1"/>
  <c r="AP89" i="1"/>
  <c r="AP93" i="1"/>
  <c r="AP97" i="1"/>
  <c r="AP101" i="1"/>
  <c r="AP105" i="1"/>
  <c r="AP109" i="1"/>
  <c r="AP113" i="1"/>
  <c r="AP117" i="1"/>
  <c r="AP121" i="1"/>
  <c r="AP125" i="1"/>
  <c r="AP129" i="1"/>
  <c r="AP133" i="1"/>
  <c r="AP10" i="1"/>
  <c r="AP14" i="1"/>
  <c r="AP18" i="1"/>
  <c r="AP22" i="1"/>
  <c r="AP26" i="1"/>
  <c r="AP30" i="1"/>
  <c r="AP34" i="1"/>
  <c r="AP38" i="1"/>
  <c r="AP42" i="1"/>
  <c r="AP46" i="1"/>
  <c r="AP50" i="1"/>
  <c r="AP54" i="1"/>
  <c r="AP58" i="1"/>
  <c r="AP62" i="1"/>
  <c r="AP66" i="1"/>
  <c r="AP70" i="1"/>
  <c r="AP74" i="1"/>
  <c r="AP78" i="1"/>
  <c r="AP82" i="1"/>
  <c r="AP86" i="1"/>
  <c r="AP90" i="1"/>
  <c r="AP94" i="1"/>
  <c r="AP98" i="1"/>
  <c r="AP102" i="1"/>
  <c r="AP106" i="1"/>
  <c r="AP110" i="1"/>
  <c r="AP114" i="1"/>
  <c r="AP118" i="1"/>
  <c r="AP122" i="1"/>
  <c r="AP126" i="1"/>
  <c r="AP130" i="1"/>
  <c r="AP134" i="1"/>
  <c r="AP8" i="1"/>
  <c r="AP16" i="1"/>
  <c r="AP24" i="1"/>
  <c r="AP32" i="1"/>
  <c r="AP40" i="1"/>
  <c r="AP48" i="1"/>
  <c r="AP56" i="1"/>
  <c r="AP64" i="1"/>
  <c r="AP72" i="1"/>
  <c r="AP80" i="1"/>
  <c r="AP88" i="1"/>
  <c r="AP96" i="1"/>
  <c r="AP104" i="1"/>
  <c r="AP112" i="1"/>
  <c r="AP120" i="1"/>
  <c r="AP128" i="1"/>
  <c r="X130" i="1"/>
  <c r="X118" i="1"/>
  <c r="X106" i="1"/>
  <c r="X98" i="1"/>
  <c r="X86" i="1"/>
  <c r="X74" i="1"/>
  <c r="X62" i="1"/>
  <c r="X50" i="1"/>
  <c r="X42" i="1"/>
  <c r="X34" i="1"/>
  <c r="X30" i="1"/>
  <c r="X18" i="1"/>
  <c r="AF125" i="1"/>
  <c r="AF109" i="1"/>
  <c r="AF99" i="1"/>
  <c r="AF83" i="1"/>
  <c r="AF72" i="1"/>
  <c r="AF56" i="1"/>
  <c r="AF40" i="1"/>
  <c r="AF29" i="1"/>
  <c r="AF13" i="1"/>
  <c r="AP127" i="1"/>
  <c r="AP95" i="1"/>
  <c r="AP75" i="1"/>
  <c r="AP52" i="1"/>
  <c r="AP31" i="1"/>
  <c r="AP11" i="1"/>
  <c r="AX132" i="1"/>
  <c r="AX111" i="1"/>
  <c r="AX79" i="1"/>
  <c r="AX59" i="1"/>
  <c r="AX27" i="1"/>
  <c r="AX3" i="1"/>
  <c r="BD44" i="1"/>
  <c r="BJ100" i="1"/>
  <c r="BV10" i="1"/>
  <c r="BV14" i="1"/>
  <c r="BV18" i="1"/>
  <c r="BV22" i="1"/>
  <c r="BV26" i="1"/>
  <c r="BV30" i="1"/>
  <c r="BV34" i="1"/>
  <c r="BV38" i="1"/>
  <c r="BV42" i="1"/>
  <c r="BV46" i="1"/>
  <c r="BV50" i="1"/>
  <c r="BV54" i="1"/>
  <c r="BV58" i="1"/>
  <c r="BV62" i="1"/>
  <c r="BV66" i="1"/>
  <c r="BV70" i="1"/>
  <c r="BV74" i="1"/>
  <c r="BV78" i="1"/>
  <c r="BV82" i="1"/>
  <c r="BV86" i="1"/>
  <c r="BV90" i="1"/>
  <c r="BV94" i="1"/>
  <c r="BV98" i="1"/>
  <c r="BV102" i="1"/>
  <c r="BV106" i="1"/>
  <c r="BV110" i="1"/>
  <c r="BV114" i="1"/>
  <c r="BV118" i="1"/>
  <c r="BV122" i="1"/>
  <c r="BV7" i="1"/>
  <c r="BV11" i="1"/>
  <c r="BV15" i="1"/>
  <c r="BV19" i="1"/>
  <c r="BV23" i="1"/>
  <c r="BV27" i="1"/>
  <c r="BV31" i="1"/>
  <c r="BV35" i="1"/>
  <c r="BV39" i="1"/>
  <c r="BV43" i="1"/>
  <c r="BV47" i="1"/>
  <c r="BV51" i="1"/>
  <c r="BV55" i="1"/>
  <c r="BV59" i="1"/>
  <c r="BV63" i="1"/>
  <c r="BV67" i="1"/>
  <c r="BV71" i="1"/>
  <c r="BV75" i="1"/>
  <c r="BV79" i="1"/>
  <c r="BV83" i="1"/>
  <c r="BV87" i="1"/>
  <c r="BV91" i="1"/>
  <c r="BV95" i="1"/>
  <c r="BV99" i="1"/>
  <c r="BV103" i="1"/>
  <c r="BV107" i="1"/>
  <c r="BV111" i="1"/>
  <c r="BV115" i="1"/>
  <c r="BV119" i="1"/>
  <c r="BV123" i="1"/>
  <c r="BV127" i="1"/>
  <c r="BV131" i="1"/>
  <c r="BV135" i="1"/>
  <c r="BV9" i="1"/>
  <c r="BV17" i="1"/>
  <c r="BV25" i="1"/>
  <c r="BV33" i="1"/>
  <c r="BV41" i="1"/>
  <c r="BV49" i="1"/>
  <c r="BV57" i="1"/>
  <c r="BV65" i="1"/>
  <c r="BV73" i="1"/>
  <c r="BV81" i="1"/>
  <c r="BV89" i="1"/>
  <c r="BV97" i="1"/>
  <c r="BV105" i="1"/>
  <c r="BV113" i="1"/>
  <c r="BV121" i="1"/>
  <c r="BV128" i="1"/>
  <c r="BV133" i="1"/>
  <c r="BV3" i="1"/>
  <c r="BV12" i="1"/>
  <c r="BV20" i="1"/>
  <c r="BV28" i="1"/>
  <c r="BV36" i="1"/>
  <c r="BV44" i="1"/>
  <c r="BV52" i="1"/>
  <c r="BV60" i="1"/>
  <c r="BV68" i="1"/>
  <c r="BV76" i="1"/>
  <c r="BV84" i="1"/>
  <c r="BV92" i="1"/>
  <c r="BV100" i="1"/>
  <c r="BV108" i="1"/>
  <c r="BV116" i="1"/>
  <c r="BV124" i="1"/>
  <c r="BV129" i="1"/>
  <c r="BV134" i="1"/>
  <c r="BV13" i="1"/>
  <c r="BV29" i="1"/>
  <c r="BV45" i="1"/>
  <c r="BV61" i="1"/>
  <c r="BV77" i="1"/>
  <c r="BV93" i="1"/>
  <c r="BV109" i="1"/>
  <c r="BV125" i="1"/>
  <c r="BV16" i="1"/>
  <c r="BV32" i="1"/>
  <c r="BV48" i="1"/>
  <c r="BV64" i="1"/>
  <c r="BV80" i="1"/>
  <c r="BV96" i="1"/>
  <c r="BV112" i="1"/>
  <c r="BV126" i="1"/>
  <c r="BV21" i="1"/>
  <c r="BV53" i="1"/>
  <c r="BV85" i="1"/>
  <c r="BV117" i="1"/>
  <c r="BV24" i="1"/>
  <c r="BV56" i="1"/>
  <c r="BV88" i="1"/>
  <c r="BV120" i="1"/>
  <c r="BV4" i="1"/>
  <c r="BV69" i="1"/>
  <c r="BV130" i="1"/>
  <c r="BV8" i="1"/>
  <c r="BV72" i="1"/>
  <c r="BV132" i="1"/>
  <c r="BV101" i="1"/>
  <c r="BV104" i="1"/>
  <c r="BV37" i="1"/>
  <c r="BV40" i="1"/>
  <c r="BH4" i="1"/>
  <c r="BH9" i="1"/>
  <c r="BH13" i="1"/>
  <c r="BH17" i="1"/>
  <c r="BH21" i="1"/>
  <c r="BH25" i="1"/>
  <c r="BH29" i="1"/>
  <c r="BH33" i="1"/>
  <c r="BH37" i="1"/>
  <c r="BH41" i="1"/>
  <c r="BH45" i="1"/>
  <c r="BH49" i="1"/>
  <c r="BH53" i="1"/>
  <c r="BH57" i="1"/>
  <c r="BH61" i="1"/>
  <c r="BH65" i="1"/>
  <c r="BH69" i="1"/>
  <c r="BH73" i="1"/>
  <c r="BH77" i="1"/>
  <c r="BH81" i="1"/>
  <c r="BH85" i="1"/>
  <c r="BH89" i="1"/>
  <c r="BH93" i="1"/>
  <c r="BH97" i="1"/>
  <c r="BH101" i="1"/>
  <c r="BH105" i="1"/>
  <c r="BH109" i="1"/>
  <c r="BH113" i="1"/>
  <c r="BH117" i="1"/>
  <c r="BH121" i="1"/>
  <c r="BH125" i="1"/>
  <c r="BH129" i="1"/>
  <c r="BH133" i="1"/>
  <c r="BH10" i="1"/>
  <c r="BH14" i="1"/>
  <c r="BH18" i="1"/>
  <c r="BH22" i="1"/>
  <c r="BH26" i="1"/>
  <c r="BH30" i="1"/>
  <c r="BH34" i="1"/>
  <c r="BH38" i="1"/>
  <c r="BH42" i="1"/>
  <c r="BH46" i="1"/>
  <c r="BH50" i="1"/>
  <c r="BH54" i="1"/>
  <c r="BH58" i="1"/>
  <c r="BH62" i="1"/>
  <c r="BH66" i="1"/>
  <c r="BH70" i="1"/>
  <c r="BH74" i="1"/>
  <c r="BH78" i="1"/>
  <c r="BH82" i="1"/>
  <c r="BH86" i="1"/>
  <c r="BH90" i="1"/>
  <c r="BH94" i="1"/>
  <c r="BH98" i="1"/>
  <c r="BH102" i="1"/>
  <c r="BH106" i="1"/>
  <c r="BH110" i="1"/>
  <c r="BH114" i="1"/>
  <c r="BH118" i="1"/>
  <c r="BH122" i="1"/>
  <c r="BH126" i="1"/>
  <c r="BH130" i="1"/>
  <c r="BH134" i="1"/>
  <c r="BH11" i="1"/>
  <c r="BH19" i="1"/>
  <c r="BH27" i="1"/>
  <c r="BH35" i="1"/>
  <c r="BH43" i="1"/>
  <c r="BH51" i="1"/>
  <c r="BH59" i="1"/>
  <c r="BH67" i="1"/>
  <c r="BH75" i="1"/>
  <c r="BH83" i="1"/>
  <c r="BH91" i="1"/>
  <c r="BH99" i="1"/>
  <c r="BH107" i="1"/>
  <c r="BH115" i="1"/>
  <c r="BH123" i="1"/>
  <c r="BH131" i="1"/>
  <c r="BH3" i="1"/>
  <c r="BH12" i="1"/>
  <c r="BH20" i="1"/>
  <c r="BH28" i="1"/>
  <c r="BH36" i="1"/>
  <c r="BH44" i="1"/>
  <c r="BH52" i="1"/>
  <c r="BH60" i="1"/>
  <c r="BH68" i="1"/>
  <c r="BH76" i="1"/>
  <c r="BH84" i="1"/>
  <c r="BH92" i="1"/>
  <c r="BH100" i="1"/>
  <c r="BH108" i="1"/>
  <c r="BH116" i="1"/>
  <c r="BH124" i="1"/>
  <c r="BH132" i="1"/>
  <c r="BH7" i="1"/>
  <c r="BH23" i="1"/>
  <c r="BH39" i="1"/>
  <c r="BH55" i="1"/>
  <c r="BH71" i="1"/>
  <c r="BH87" i="1"/>
  <c r="BH103" i="1"/>
  <c r="BH119" i="1"/>
  <c r="BH135" i="1"/>
  <c r="BH8" i="1"/>
  <c r="BH24" i="1"/>
  <c r="BH40" i="1"/>
  <c r="BH56" i="1"/>
  <c r="BH72" i="1"/>
  <c r="BH88" i="1"/>
  <c r="BH104" i="1"/>
  <c r="BH120" i="1"/>
  <c r="BH15" i="1"/>
  <c r="BH47" i="1"/>
  <c r="BH79" i="1"/>
  <c r="BH111" i="1"/>
  <c r="BH16" i="1"/>
  <c r="BH48" i="1"/>
  <c r="BH80" i="1"/>
  <c r="BH112" i="1"/>
  <c r="BH2" i="1"/>
  <c r="AV4" i="1"/>
  <c r="AV9" i="1"/>
  <c r="AV13" i="1"/>
  <c r="AV17" i="1"/>
  <c r="AV21" i="1"/>
  <c r="AV25" i="1"/>
  <c r="AV29" i="1"/>
  <c r="AV33" i="1"/>
  <c r="AV37" i="1"/>
  <c r="AV41" i="1"/>
  <c r="AV45" i="1"/>
  <c r="AV49" i="1"/>
  <c r="AV53" i="1"/>
  <c r="AV57" i="1"/>
  <c r="AV61" i="1"/>
  <c r="AV65" i="1"/>
  <c r="AV69" i="1"/>
  <c r="AV73" i="1"/>
  <c r="AV77" i="1"/>
  <c r="AV81" i="1"/>
  <c r="AV85" i="1"/>
  <c r="AV89" i="1"/>
  <c r="AV93" i="1"/>
  <c r="AV97" i="1"/>
  <c r="AV101" i="1"/>
  <c r="AV105" i="1"/>
  <c r="AV109" i="1"/>
  <c r="AV113" i="1"/>
  <c r="AV117" i="1"/>
  <c r="AV121" i="1"/>
  <c r="AV125" i="1"/>
  <c r="AV129" i="1"/>
  <c r="AV133" i="1"/>
  <c r="AV2" i="1"/>
  <c r="AV10" i="1"/>
  <c r="AV14" i="1"/>
  <c r="AV18" i="1"/>
  <c r="AV22" i="1"/>
  <c r="AV26" i="1"/>
  <c r="AV30" i="1"/>
  <c r="AV34" i="1"/>
  <c r="AV38" i="1"/>
  <c r="AV42" i="1"/>
  <c r="AV46" i="1"/>
  <c r="AV50" i="1"/>
  <c r="AV54" i="1"/>
  <c r="AV58" i="1"/>
  <c r="AV62" i="1"/>
  <c r="AV66" i="1"/>
  <c r="AV70" i="1"/>
  <c r="AV74" i="1"/>
  <c r="AV78" i="1"/>
  <c r="AV82" i="1"/>
  <c r="AV86" i="1"/>
  <c r="AV90" i="1"/>
  <c r="AV94" i="1"/>
  <c r="AV98" i="1"/>
  <c r="AV102" i="1"/>
  <c r="AV106" i="1"/>
  <c r="AV110" i="1"/>
  <c r="AV114" i="1"/>
  <c r="AV118" i="1"/>
  <c r="AV122" i="1"/>
  <c r="AV126" i="1"/>
  <c r="AV130" i="1"/>
  <c r="AV134" i="1"/>
  <c r="AV3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D4" i="1"/>
  <c r="AD9" i="1"/>
  <c r="AD13" i="1"/>
  <c r="AD17" i="1"/>
  <c r="AD21" i="1"/>
  <c r="AD25" i="1"/>
  <c r="AD29" i="1"/>
  <c r="AD33" i="1"/>
  <c r="AD37" i="1"/>
  <c r="AD41" i="1"/>
  <c r="AD45" i="1"/>
  <c r="AD49" i="1"/>
  <c r="AD53" i="1"/>
  <c r="AD57" i="1"/>
  <c r="AD61" i="1"/>
  <c r="AD65" i="1"/>
  <c r="AD69" i="1"/>
  <c r="AD73" i="1"/>
  <c r="AD77" i="1"/>
  <c r="AD81" i="1"/>
  <c r="AD85" i="1"/>
  <c r="AD89" i="1"/>
  <c r="AD93" i="1"/>
  <c r="AD97" i="1"/>
  <c r="AD101" i="1"/>
  <c r="AD105" i="1"/>
  <c r="AD109" i="1"/>
  <c r="AD113" i="1"/>
  <c r="AD117" i="1"/>
  <c r="AD121" i="1"/>
  <c r="AD125" i="1"/>
  <c r="AD129" i="1"/>
  <c r="AD133" i="1"/>
  <c r="X129" i="1"/>
  <c r="X117" i="1"/>
  <c r="X109" i="1"/>
  <c r="X97" i="1"/>
  <c r="X89" i="1"/>
  <c r="X77" i="1"/>
  <c r="X69" i="1"/>
  <c r="X57" i="1"/>
  <c r="X49" i="1"/>
  <c r="X37" i="1"/>
  <c r="X29" i="1"/>
  <c r="X17" i="1"/>
  <c r="X4" i="1"/>
  <c r="AD135" i="1"/>
  <c r="AD124" i="1"/>
  <c r="AD108" i="1"/>
  <c r="AD98" i="1"/>
  <c r="AD82" i="1"/>
  <c r="AD71" i="1"/>
  <c r="AD55" i="1"/>
  <c r="AD39" i="1"/>
  <c r="AD18" i="1"/>
  <c r="AF135" i="1"/>
  <c r="AF124" i="1"/>
  <c r="AF108" i="1"/>
  <c r="AF92" i="1"/>
  <c r="AF81" i="1"/>
  <c r="AF65" i="1"/>
  <c r="AF44" i="1"/>
  <c r="AF28" i="1"/>
  <c r="AF17" i="1"/>
  <c r="AF7" i="1"/>
  <c r="BB2" i="1"/>
  <c r="AN131" i="1"/>
  <c r="AN110" i="1"/>
  <c r="AN88" i="1"/>
  <c r="AN75" i="1"/>
  <c r="AN60" i="1"/>
  <c r="AN39" i="1"/>
  <c r="AN18" i="1"/>
  <c r="AP115" i="1"/>
  <c r="AP83" i="1"/>
  <c r="AP51" i="1"/>
  <c r="AP19" i="1"/>
  <c r="AV115" i="1"/>
  <c r="AV83" i="1"/>
  <c r="AV63" i="1"/>
  <c r="AV40" i="1"/>
  <c r="AV8" i="1"/>
  <c r="AX108" i="1"/>
  <c r="AX76" i="1"/>
  <c r="AX55" i="1"/>
  <c r="AX12" i="1"/>
  <c r="BB127" i="1"/>
  <c r="BB91" i="1"/>
  <c r="BB7" i="1"/>
  <c r="BD43" i="1"/>
  <c r="BH31" i="1"/>
  <c r="BN43" i="1"/>
  <c r="BP69" i="1"/>
  <c r="AL7" i="1"/>
  <c r="AL11" i="1"/>
  <c r="AL15" i="1"/>
  <c r="AL19" i="1"/>
  <c r="AL23" i="1"/>
  <c r="AL27" i="1"/>
  <c r="AL3" i="1"/>
  <c r="AL9" i="1"/>
  <c r="AL14" i="1"/>
  <c r="AL20" i="1"/>
  <c r="AL25" i="1"/>
  <c r="AL30" i="1"/>
  <c r="AL34" i="1"/>
  <c r="AL38" i="1"/>
  <c r="AL42" i="1"/>
  <c r="AL46" i="1"/>
  <c r="AL50" i="1"/>
  <c r="AL54" i="1"/>
  <c r="AL58" i="1"/>
  <c r="AL62" i="1"/>
  <c r="AL66" i="1"/>
  <c r="AL70" i="1"/>
  <c r="AL74" i="1"/>
  <c r="AL78" i="1"/>
  <c r="AL82" i="1"/>
  <c r="AL86" i="1"/>
  <c r="AL90" i="1"/>
  <c r="AL94" i="1"/>
  <c r="AL98" i="1"/>
  <c r="AL102" i="1"/>
  <c r="AL106" i="1"/>
  <c r="AL110" i="1"/>
  <c r="AL114" i="1"/>
  <c r="AL118" i="1"/>
  <c r="AL122" i="1"/>
  <c r="AL126" i="1"/>
  <c r="AL130" i="1"/>
  <c r="AL134" i="1"/>
  <c r="AB3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76" i="1"/>
  <c r="AB80" i="1"/>
  <c r="AB84" i="1"/>
  <c r="AB88" i="1"/>
  <c r="AB92" i="1"/>
  <c r="AB96" i="1"/>
  <c r="AB100" i="1"/>
  <c r="AB104" i="1"/>
  <c r="AB108" i="1"/>
  <c r="AB112" i="1"/>
  <c r="AB116" i="1"/>
  <c r="AB120" i="1"/>
  <c r="AB124" i="1"/>
  <c r="AB128" i="1"/>
  <c r="AB132" i="1"/>
  <c r="AB2" i="1"/>
  <c r="X132" i="1"/>
  <c r="X124" i="1"/>
  <c r="X116" i="1"/>
  <c r="X108" i="1"/>
  <c r="X100" i="1"/>
  <c r="X92" i="1"/>
  <c r="X84" i="1"/>
  <c r="X76" i="1"/>
  <c r="X68" i="1"/>
  <c r="X60" i="1"/>
  <c r="X52" i="1"/>
  <c r="X40" i="1"/>
  <c r="X24" i="1"/>
  <c r="X16" i="1"/>
  <c r="X12" i="1"/>
  <c r="AB134" i="1"/>
  <c r="AB123" i="1"/>
  <c r="AB107" i="1"/>
  <c r="AB86" i="1"/>
  <c r="AB75" i="1"/>
  <c r="AB65" i="1"/>
  <c r="AB54" i="1"/>
  <c r="AB49" i="1"/>
  <c r="AB33" i="1"/>
  <c r="AB17" i="1"/>
  <c r="AD128" i="1"/>
  <c r="AD118" i="1"/>
  <c r="AD96" i="1"/>
  <c r="AD80" i="1"/>
  <c r="AD70" i="1"/>
  <c r="AD59" i="1"/>
  <c r="AD48" i="1"/>
  <c r="AD38" i="1"/>
  <c r="AD22" i="1"/>
  <c r="AD11" i="1"/>
  <c r="AF133" i="1"/>
  <c r="AF123" i="1"/>
  <c r="AF112" i="1"/>
  <c r="AF101" i="1"/>
  <c r="AF91" i="1"/>
  <c r="AF75" i="1"/>
  <c r="AF53" i="1"/>
  <c r="AF43" i="1"/>
  <c r="AF27" i="1"/>
  <c r="AF16" i="1"/>
  <c r="AF4" i="1"/>
  <c r="AN51" i="1"/>
  <c r="BR4" i="1"/>
  <c r="BR9" i="1"/>
  <c r="BR13" i="1"/>
  <c r="BR17" i="1"/>
  <c r="BR21" i="1"/>
  <c r="BR25" i="1"/>
  <c r="BR29" i="1"/>
  <c r="BR33" i="1"/>
  <c r="BR37" i="1"/>
  <c r="BR41" i="1"/>
  <c r="BR45" i="1"/>
  <c r="BR49" i="1"/>
  <c r="BR53" i="1"/>
  <c r="BR57" i="1"/>
  <c r="BR61" i="1"/>
  <c r="BR65" i="1"/>
  <c r="BR69" i="1"/>
  <c r="BR73" i="1"/>
  <c r="BR77" i="1"/>
  <c r="BR81" i="1"/>
  <c r="BR85" i="1"/>
  <c r="BR89" i="1"/>
  <c r="BR93" i="1"/>
  <c r="BR97" i="1"/>
  <c r="BR101" i="1"/>
  <c r="BR105" i="1"/>
  <c r="BR109" i="1"/>
  <c r="BR113" i="1"/>
  <c r="BR10" i="1"/>
  <c r="BR14" i="1"/>
  <c r="BR18" i="1"/>
  <c r="BR22" i="1"/>
  <c r="BR26" i="1"/>
  <c r="BR30" i="1"/>
  <c r="BR34" i="1"/>
  <c r="BR38" i="1"/>
  <c r="BR42" i="1"/>
  <c r="BR46" i="1"/>
  <c r="BR50" i="1"/>
  <c r="BR54" i="1"/>
  <c r="BR58" i="1"/>
  <c r="BR62" i="1"/>
  <c r="BR66" i="1"/>
  <c r="BR70" i="1"/>
  <c r="BR74" i="1"/>
  <c r="BR78" i="1"/>
  <c r="BR82" i="1"/>
  <c r="BR86" i="1"/>
  <c r="BR90" i="1"/>
  <c r="BR94" i="1"/>
  <c r="BR98" i="1"/>
  <c r="BR102" i="1"/>
  <c r="BR106" i="1"/>
  <c r="BR110" i="1"/>
  <c r="BR114" i="1"/>
  <c r="BR11" i="1"/>
  <c r="BR19" i="1"/>
  <c r="BR27" i="1"/>
  <c r="BR35" i="1"/>
  <c r="BR43" i="1"/>
  <c r="BR51" i="1"/>
  <c r="BR59" i="1"/>
  <c r="BR67" i="1"/>
  <c r="BR75" i="1"/>
  <c r="BR83" i="1"/>
  <c r="BR91" i="1"/>
  <c r="BR99" i="1"/>
  <c r="BR107" i="1"/>
  <c r="BR115" i="1"/>
  <c r="BR119" i="1"/>
  <c r="BR123" i="1"/>
  <c r="BR127" i="1"/>
  <c r="BR131" i="1"/>
  <c r="BR135" i="1"/>
  <c r="BR3" i="1"/>
  <c r="BR12" i="1"/>
  <c r="BR20" i="1"/>
  <c r="BR28" i="1"/>
  <c r="BR36" i="1"/>
  <c r="BR44" i="1"/>
  <c r="BR52" i="1"/>
  <c r="BR60" i="1"/>
  <c r="BR68" i="1"/>
  <c r="BR76" i="1"/>
  <c r="BR84" i="1"/>
  <c r="BR92" i="1"/>
  <c r="BR100" i="1"/>
  <c r="BR108" i="1"/>
  <c r="BR116" i="1"/>
  <c r="BR120" i="1"/>
  <c r="BR124" i="1"/>
  <c r="BR128" i="1"/>
  <c r="BR132" i="1"/>
  <c r="BR7" i="1"/>
  <c r="BR23" i="1"/>
  <c r="BR39" i="1"/>
  <c r="BR55" i="1"/>
  <c r="BR71" i="1"/>
  <c r="BR87" i="1"/>
  <c r="BR103" i="1"/>
  <c r="BR117" i="1"/>
  <c r="BR125" i="1"/>
  <c r="BR133" i="1"/>
  <c r="BR8" i="1"/>
  <c r="BR24" i="1"/>
  <c r="BR40" i="1"/>
  <c r="BR56" i="1"/>
  <c r="BR72" i="1"/>
  <c r="BR88" i="1"/>
  <c r="BR104" i="1"/>
  <c r="BR118" i="1"/>
  <c r="BR126" i="1"/>
  <c r="BR134" i="1"/>
  <c r="BR15" i="1"/>
  <c r="BR47" i="1"/>
  <c r="BR79" i="1"/>
  <c r="BR111" i="1"/>
  <c r="BR129" i="1"/>
  <c r="BR16" i="1"/>
  <c r="BR48" i="1"/>
  <c r="BR80" i="1"/>
  <c r="BR112" i="1"/>
  <c r="BR130" i="1"/>
  <c r="BR63" i="1"/>
  <c r="BR121" i="1"/>
  <c r="BR64" i="1"/>
  <c r="BR122" i="1"/>
  <c r="BR95" i="1"/>
  <c r="BR96" i="1"/>
  <c r="BR2" i="1"/>
  <c r="BL4" i="1"/>
  <c r="BL9" i="1"/>
  <c r="BL13" i="1"/>
  <c r="BL17" i="1"/>
  <c r="BL21" i="1"/>
  <c r="BL25" i="1"/>
  <c r="BL29" i="1"/>
  <c r="BL33" i="1"/>
  <c r="BL37" i="1"/>
  <c r="BL41" i="1"/>
  <c r="BL45" i="1"/>
  <c r="BL49" i="1"/>
  <c r="BL53" i="1"/>
  <c r="BL57" i="1"/>
  <c r="BL61" i="1"/>
  <c r="BL65" i="1"/>
  <c r="BL69" i="1"/>
  <c r="BL73" i="1"/>
  <c r="BL77" i="1"/>
  <c r="BL81" i="1"/>
  <c r="BL85" i="1"/>
  <c r="BL89" i="1"/>
  <c r="BL93" i="1"/>
  <c r="BL97" i="1"/>
  <c r="BL101" i="1"/>
  <c r="BL105" i="1"/>
  <c r="BL109" i="1"/>
  <c r="BL113" i="1"/>
  <c r="BL117" i="1"/>
  <c r="BL121" i="1"/>
  <c r="BL125" i="1"/>
  <c r="BL129" i="1"/>
  <c r="BL133" i="1"/>
  <c r="BL10" i="1"/>
  <c r="BL14" i="1"/>
  <c r="BL18" i="1"/>
  <c r="BL22" i="1"/>
  <c r="BL26" i="1"/>
  <c r="BL30" i="1"/>
  <c r="BL34" i="1"/>
  <c r="BL38" i="1"/>
  <c r="BL42" i="1"/>
  <c r="BL46" i="1"/>
  <c r="BL50" i="1"/>
  <c r="BL54" i="1"/>
  <c r="BL58" i="1"/>
  <c r="BL62" i="1"/>
  <c r="BL66" i="1"/>
  <c r="BL70" i="1"/>
  <c r="BL74" i="1"/>
  <c r="BL78" i="1"/>
  <c r="BL82" i="1"/>
  <c r="BL86" i="1"/>
  <c r="BL90" i="1"/>
  <c r="BL94" i="1"/>
  <c r="BL98" i="1"/>
  <c r="BL102" i="1"/>
  <c r="BL106" i="1"/>
  <c r="BL110" i="1"/>
  <c r="BL114" i="1"/>
  <c r="BL118" i="1"/>
  <c r="BL122" i="1"/>
  <c r="BL126" i="1"/>
  <c r="BL130" i="1"/>
  <c r="BL134" i="1"/>
  <c r="BL11" i="1"/>
  <c r="BL19" i="1"/>
  <c r="BL27" i="1"/>
  <c r="BL35" i="1"/>
  <c r="BL43" i="1"/>
  <c r="BL51" i="1"/>
  <c r="BL59" i="1"/>
  <c r="BL67" i="1"/>
  <c r="BL75" i="1"/>
  <c r="BL83" i="1"/>
  <c r="BL91" i="1"/>
  <c r="BL99" i="1"/>
  <c r="BL107" i="1"/>
  <c r="BL115" i="1"/>
  <c r="BL123" i="1"/>
  <c r="BL131" i="1"/>
  <c r="BL3" i="1"/>
  <c r="BL12" i="1"/>
  <c r="BL20" i="1"/>
  <c r="BL28" i="1"/>
  <c r="BL36" i="1"/>
  <c r="BL44" i="1"/>
  <c r="BL52" i="1"/>
  <c r="BL60" i="1"/>
  <c r="BL68" i="1"/>
  <c r="BL76" i="1"/>
  <c r="BL84" i="1"/>
  <c r="BL92" i="1"/>
  <c r="BL100" i="1"/>
  <c r="BL108" i="1"/>
  <c r="BL116" i="1"/>
  <c r="BL124" i="1"/>
  <c r="BL132" i="1"/>
  <c r="BL15" i="1"/>
  <c r="BL31" i="1"/>
  <c r="BL47" i="1"/>
  <c r="BL63" i="1"/>
  <c r="BL79" i="1"/>
  <c r="BL95" i="1"/>
  <c r="BL111" i="1"/>
  <c r="BL127" i="1"/>
  <c r="BL2" i="1"/>
  <c r="BL16" i="1"/>
  <c r="BL32" i="1"/>
  <c r="BL48" i="1"/>
  <c r="BL64" i="1"/>
  <c r="BL80" i="1"/>
  <c r="BL96" i="1"/>
  <c r="BL112" i="1"/>
  <c r="BL128" i="1"/>
  <c r="BL23" i="1"/>
  <c r="BL55" i="1"/>
  <c r="BL87" i="1"/>
  <c r="BL119" i="1"/>
  <c r="BL24" i="1"/>
  <c r="BL56" i="1"/>
  <c r="BL88" i="1"/>
  <c r="BL120" i="1"/>
  <c r="BF4" i="1"/>
  <c r="BF9" i="1"/>
  <c r="BF13" i="1"/>
  <c r="BF17" i="1"/>
  <c r="BF21" i="1"/>
  <c r="BF25" i="1"/>
  <c r="BF29" i="1"/>
  <c r="BF33" i="1"/>
  <c r="BF37" i="1"/>
  <c r="BF41" i="1"/>
  <c r="BF45" i="1"/>
  <c r="BF49" i="1"/>
  <c r="BF53" i="1"/>
  <c r="BF57" i="1"/>
  <c r="BF61" i="1"/>
  <c r="BF65" i="1"/>
  <c r="BF69" i="1"/>
  <c r="BF73" i="1"/>
  <c r="BF77" i="1"/>
  <c r="BF81" i="1"/>
  <c r="BF85" i="1"/>
  <c r="BF89" i="1"/>
  <c r="BF93" i="1"/>
  <c r="BF97" i="1"/>
  <c r="BF101" i="1"/>
  <c r="BF105" i="1"/>
  <c r="BF109" i="1"/>
  <c r="BF113" i="1"/>
  <c r="BF117" i="1"/>
  <c r="BF121" i="1"/>
  <c r="BF125" i="1"/>
  <c r="BF129" i="1"/>
  <c r="BF133" i="1"/>
  <c r="BF10" i="1"/>
  <c r="BF14" i="1"/>
  <c r="BF18" i="1"/>
  <c r="BF22" i="1"/>
  <c r="BF26" i="1"/>
  <c r="BF30" i="1"/>
  <c r="BF34" i="1"/>
  <c r="BF38" i="1"/>
  <c r="BF42" i="1"/>
  <c r="BF46" i="1"/>
  <c r="BF50" i="1"/>
  <c r="BF54" i="1"/>
  <c r="BF58" i="1"/>
  <c r="BF62" i="1"/>
  <c r="BF66" i="1"/>
  <c r="BF70" i="1"/>
  <c r="BF74" i="1"/>
  <c r="BF78" i="1"/>
  <c r="BF82" i="1"/>
  <c r="BF86" i="1"/>
  <c r="BF90" i="1"/>
  <c r="BF94" i="1"/>
  <c r="BF98" i="1"/>
  <c r="BF102" i="1"/>
  <c r="BF106" i="1"/>
  <c r="BF110" i="1"/>
  <c r="BF114" i="1"/>
  <c r="BF118" i="1"/>
  <c r="BF122" i="1"/>
  <c r="BF126" i="1"/>
  <c r="BF130" i="1"/>
  <c r="BF134" i="1"/>
  <c r="BF11" i="1"/>
  <c r="BF19" i="1"/>
  <c r="BF27" i="1"/>
  <c r="BF35" i="1"/>
  <c r="BF43" i="1"/>
  <c r="BF51" i="1"/>
  <c r="BF59" i="1"/>
  <c r="BF67" i="1"/>
  <c r="BF75" i="1"/>
  <c r="BF83" i="1"/>
  <c r="BF91" i="1"/>
  <c r="BF99" i="1"/>
  <c r="BF107" i="1"/>
  <c r="BF115" i="1"/>
  <c r="BF123" i="1"/>
  <c r="BF131" i="1"/>
  <c r="BF3" i="1"/>
  <c r="BF12" i="1"/>
  <c r="BF20" i="1"/>
  <c r="BF28" i="1"/>
  <c r="BF36" i="1"/>
  <c r="BF44" i="1"/>
  <c r="BF52" i="1"/>
  <c r="BF60" i="1"/>
  <c r="BF68" i="1"/>
  <c r="BF76" i="1"/>
  <c r="BF84" i="1"/>
  <c r="BF92" i="1"/>
  <c r="BF100" i="1"/>
  <c r="BF108" i="1"/>
  <c r="BF116" i="1"/>
  <c r="BF124" i="1"/>
  <c r="BF132" i="1"/>
  <c r="BF7" i="1"/>
  <c r="BF23" i="1"/>
  <c r="BF39" i="1"/>
  <c r="BF55" i="1"/>
  <c r="BF71" i="1"/>
  <c r="BF87" i="1"/>
  <c r="BF103" i="1"/>
  <c r="BF119" i="1"/>
  <c r="BF135" i="1"/>
  <c r="BF8" i="1"/>
  <c r="BF24" i="1"/>
  <c r="BF40" i="1"/>
  <c r="BF56" i="1"/>
  <c r="BF72" i="1"/>
  <c r="BF88" i="1"/>
  <c r="BF104" i="1"/>
  <c r="BF120" i="1"/>
  <c r="AZ4" i="1"/>
  <c r="AZ9" i="1"/>
  <c r="AZ13" i="1"/>
  <c r="AZ17" i="1"/>
  <c r="AZ21" i="1"/>
  <c r="AZ25" i="1"/>
  <c r="AZ29" i="1"/>
  <c r="AZ33" i="1"/>
  <c r="AZ37" i="1"/>
  <c r="AZ41" i="1"/>
  <c r="AZ45" i="1"/>
  <c r="AZ49" i="1"/>
  <c r="AZ53" i="1"/>
  <c r="AZ57" i="1"/>
  <c r="AZ61" i="1"/>
  <c r="AZ65" i="1"/>
  <c r="AZ69" i="1"/>
  <c r="AZ73" i="1"/>
  <c r="AZ77" i="1"/>
  <c r="AZ81" i="1"/>
  <c r="AZ85" i="1"/>
  <c r="AZ89" i="1"/>
  <c r="AZ93" i="1"/>
  <c r="AZ97" i="1"/>
  <c r="AZ101" i="1"/>
  <c r="AZ105" i="1"/>
  <c r="AZ109" i="1"/>
  <c r="AZ113" i="1"/>
  <c r="AZ117" i="1"/>
  <c r="AZ121" i="1"/>
  <c r="AZ125" i="1"/>
  <c r="AZ129" i="1"/>
  <c r="AZ133" i="1"/>
  <c r="AZ10" i="1"/>
  <c r="AZ14" i="1"/>
  <c r="AZ18" i="1"/>
  <c r="AZ22" i="1"/>
  <c r="AZ26" i="1"/>
  <c r="AZ30" i="1"/>
  <c r="AZ34" i="1"/>
  <c r="AZ38" i="1"/>
  <c r="AZ42" i="1"/>
  <c r="AZ46" i="1"/>
  <c r="AZ50" i="1"/>
  <c r="AZ54" i="1"/>
  <c r="AZ58" i="1"/>
  <c r="AZ62" i="1"/>
  <c r="AZ66" i="1"/>
  <c r="AZ70" i="1"/>
  <c r="AZ74" i="1"/>
  <c r="AZ78" i="1"/>
  <c r="AZ82" i="1"/>
  <c r="AZ86" i="1"/>
  <c r="AZ90" i="1"/>
  <c r="AZ94" i="1"/>
  <c r="AZ98" i="1"/>
  <c r="AZ102" i="1"/>
  <c r="AZ106" i="1"/>
  <c r="AZ110" i="1"/>
  <c r="AZ114" i="1"/>
  <c r="AZ118" i="1"/>
  <c r="AZ122" i="1"/>
  <c r="AZ126" i="1"/>
  <c r="AZ130" i="1"/>
  <c r="AZ134" i="1"/>
  <c r="AZ3" i="1"/>
  <c r="AZ12" i="1"/>
  <c r="AZ20" i="1"/>
  <c r="AZ28" i="1"/>
  <c r="AZ36" i="1"/>
  <c r="AZ44" i="1"/>
  <c r="AZ52" i="1"/>
  <c r="AZ60" i="1"/>
  <c r="AZ68" i="1"/>
  <c r="AZ76" i="1"/>
  <c r="AZ84" i="1"/>
  <c r="AZ92" i="1"/>
  <c r="AZ100" i="1"/>
  <c r="AZ108" i="1"/>
  <c r="AZ116" i="1"/>
  <c r="AZ124" i="1"/>
  <c r="AZ132" i="1"/>
  <c r="AR4" i="1"/>
  <c r="AR9" i="1"/>
  <c r="AR13" i="1"/>
  <c r="AR17" i="1"/>
  <c r="AR21" i="1"/>
  <c r="AR25" i="1"/>
  <c r="AR29" i="1"/>
  <c r="AR33" i="1"/>
  <c r="AR37" i="1"/>
  <c r="AR41" i="1"/>
  <c r="AR45" i="1"/>
  <c r="AR49" i="1"/>
  <c r="AR53" i="1"/>
  <c r="AR57" i="1"/>
  <c r="AR61" i="1"/>
  <c r="AR65" i="1"/>
  <c r="AR69" i="1"/>
  <c r="AR73" i="1"/>
  <c r="AR77" i="1"/>
  <c r="AR81" i="1"/>
  <c r="AR85" i="1"/>
  <c r="AR89" i="1"/>
  <c r="AR93" i="1"/>
  <c r="AR97" i="1"/>
  <c r="AR101" i="1"/>
  <c r="AR105" i="1"/>
  <c r="AR109" i="1"/>
  <c r="AR113" i="1"/>
  <c r="AR117" i="1"/>
  <c r="AR121" i="1"/>
  <c r="AR125" i="1"/>
  <c r="AR129" i="1"/>
  <c r="AR133" i="1"/>
  <c r="AR10" i="1"/>
  <c r="AR14" i="1"/>
  <c r="AR18" i="1"/>
  <c r="AR22" i="1"/>
  <c r="AR26" i="1"/>
  <c r="AR30" i="1"/>
  <c r="AR34" i="1"/>
  <c r="AR38" i="1"/>
  <c r="AR42" i="1"/>
  <c r="AR46" i="1"/>
  <c r="AR50" i="1"/>
  <c r="AR54" i="1"/>
  <c r="AR58" i="1"/>
  <c r="AR62" i="1"/>
  <c r="AR66" i="1"/>
  <c r="AR70" i="1"/>
  <c r="AR74" i="1"/>
  <c r="AR78" i="1"/>
  <c r="AR82" i="1"/>
  <c r="AR86" i="1"/>
  <c r="AR90" i="1"/>
  <c r="AR94" i="1"/>
  <c r="AR98" i="1"/>
  <c r="AR102" i="1"/>
  <c r="AR106" i="1"/>
  <c r="AR110" i="1"/>
  <c r="AR114" i="1"/>
  <c r="AR118" i="1"/>
  <c r="AR122" i="1"/>
  <c r="AR126" i="1"/>
  <c r="AR130" i="1"/>
  <c r="AR134" i="1"/>
  <c r="AR3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108" i="1"/>
  <c r="AR116" i="1"/>
  <c r="AR124" i="1"/>
  <c r="AR132" i="1"/>
  <c r="AH7" i="1"/>
  <c r="AH11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3" i="1"/>
  <c r="AH67" i="1"/>
  <c r="AH71" i="1"/>
  <c r="AH75" i="1"/>
  <c r="AH79" i="1"/>
  <c r="AH83" i="1"/>
  <c r="AH87" i="1"/>
  <c r="AH91" i="1"/>
  <c r="AH95" i="1"/>
  <c r="AH99" i="1"/>
  <c r="AH103" i="1"/>
  <c r="AH107" i="1"/>
  <c r="AH111" i="1"/>
  <c r="AH115" i="1"/>
  <c r="AH119" i="1"/>
  <c r="AH123" i="1"/>
  <c r="AH127" i="1"/>
  <c r="AH131" i="1"/>
  <c r="AH135" i="1"/>
  <c r="X135" i="1"/>
  <c r="X131" i="1"/>
  <c r="X127" i="1"/>
  <c r="X123" i="1"/>
  <c r="X119" i="1"/>
  <c r="X115" i="1"/>
  <c r="X111" i="1"/>
  <c r="X107" i="1"/>
  <c r="X103" i="1"/>
  <c r="X99" i="1"/>
  <c r="X95" i="1"/>
  <c r="X91" i="1"/>
  <c r="X87" i="1"/>
  <c r="X83" i="1"/>
  <c r="X79" i="1"/>
  <c r="X75" i="1"/>
  <c r="X71" i="1"/>
  <c r="X67" i="1"/>
  <c r="X63" i="1"/>
  <c r="X59" i="1"/>
  <c r="X55" i="1"/>
  <c r="X51" i="1"/>
  <c r="X47" i="1"/>
  <c r="X43" i="1"/>
  <c r="X39" i="1"/>
  <c r="X35" i="1"/>
  <c r="X31" i="1"/>
  <c r="X27" i="1"/>
  <c r="X23" i="1"/>
  <c r="X19" i="1"/>
  <c r="X15" i="1"/>
  <c r="X11" i="1"/>
  <c r="X7" i="1"/>
  <c r="Z133" i="1"/>
  <c r="Z129" i="1"/>
  <c r="Z125" i="1"/>
  <c r="Z121" i="1"/>
  <c r="Z117" i="1"/>
  <c r="Z1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3" i="1"/>
  <c r="Z49" i="1"/>
  <c r="Z45" i="1"/>
  <c r="Z41" i="1"/>
  <c r="Z37" i="1"/>
  <c r="Z33" i="1"/>
  <c r="Z29" i="1"/>
  <c r="Z25" i="1"/>
  <c r="Z21" i="1"/>
  <c r="Z17" i="1"/>
  <c r="Z13" i="1"/>
  <c r="Z9" i="1"/>
  <c r="AB133" i="1"/>
  <c r="AB127" i="1"/>
  <c r="AB122" i="1"/>
  <c r="AB117" i="1"/>
  <c r="AB111" i="1"/>
  <c r="AB106" i="1"/>
  <c r="AB101" i="1"/>
  <c r="AB95" i="1"/>
  <c r="AB90" i="1"/>
  <c r="AB85" i="1"/>
  <c r="AB79" i="1"/>
  <c r="AB74" i="1"/>
  <c r="AB69" i="1"/>
  <c r="AB63" i="1"/>
  <c r="AB58" i="1"/>
  <c r="AB53" i="1"/>
  <c r="AB47" i="1"/>
  <c r="AB42" i="1"/>
  <c r="AB37" i="1"/>
  <c r="AB31" i="1"/>
  <c r="AB26" i="1"/>
  <c r="AB21" i="1"/>
  <c r="AB15" i="1"/>
  <c r="AB10" i="1"/>
  <c r="AB4" i="1"/>
  <c r="AD132" i="1"/>
  <c r="AD127" i="1"/>
  <c r="AD122" i="1"/>
  <c r="AD116" i="1"/>
  <c r="AD111" i="1"/>
  <c r="AD106" i="1"/>
  <c r="AD100" i="1"/>
  <c r="AD95" i="1"/>
  <c r="AD90" i="1"/>
  <c r="AD84" i="1"/>
  <c r="AD79" i="1"/>
  <c r="AD74" i="1"/>
  <c r="AD68" i="1"/>
  <c r="AD63" i="1"/>
  <c r="AD58" i="1"/>
  <c r="AD52" i="1"/>
  <c r="AD47" i="1"/>
  <c r="AD42" i="1"/>
  <c r="AD36" i="1"/>
  <c r="AD31" i="1"/>
  <c r="AD26" i="1"/>
  <c r="AD20" i="1"/>
  <c r="AD15" i="1"/>
  <c r="AD10" i="1"/>
  <c r="AD3" i="1"/>
  <c r="AF132" i="1"/>
  <c r="AF127" i="1"/>
  <c r="AF121" i="1"/>
  <c r="AF116" i="1"/>
  <c r="AF111" i="1"/>
  <c r="AF105" i="1"/>
  <c r="AF100" i="1"/>
  <c r="AF95" i="1"/>
  <c r="AF89" i="1"/>
  <c r="AF84" i="1"/>
  <c r="AF79" i="1"/>
  <c r="AF73" i="1"/>
  <c r="AF68" i="1"/>
  <c r="AF63" i="1"/>
  <c r="AF57" i="1"/>
  <c r="AF52" i="1"/>
  <c r="AF47" i="1"/>
  <c r="AF41" i="1"/>
  <c r="AF36" i="1"/>
  <c r="AF31" i="1"/>
  <c r="AF25" i="1"/>
  <c r="AF20" i="1"/>
  <c r="AF15" i="1"/>
  <c r="AF9" i="1"/>
  <c r="AF3" i="1"/>
  <c r="AH132" i="1"/>
  <c r="AH126" i="1"/>
  <c r="AH121" i="1"/>
  <c r="AH116" i="1"/>
  <c r="AH110" i="1"/>
  <c r="AH105" i="1"/>
  <c r="AH100" i="1"/>
  <c r="AH94" i="1"/>
  <c r="AH89" i="1"/>
  <c r="AH84" i="1"/>
  <c r="AH78" i="1"/>
  <c r="AH73" i="1"/>
  <c r="AH68" i="1"/>
  <c r="AH62" i="1"/>
  <c r="AH57" i="1"/>
  <c r="AH52" i="1"/>
  <c r="AH46" i="1"/>
  <c r="AH41" i="1"/>
  <c r="AH36" i="1"/>
  <c r="AH30" i="1"/>
  <c r="AH25" i="1"/>
  <c r="AH20" i="1"/>
  <c r="AH14" i="1"/>
  <c r="AH9" i="1"/>
  <c r="AH3" i="1"/>
  <c r="AL135" i="1"/>
  <c r="AL129" i="1"/>
  <c r="AL124" i="1"/>
  <c r="AL119" i="1"/>
  <c r="AL113" i="1"/>
  <c r="AL108" i="1"/>
  <c r="AL103" i="1"/>
  <c r="AL97" i="1"/>
  <c r="AL92" i="1"/>
  <c r="AL87" i="1"/>
  <c r="AL81" i="1"/>
  <c r="AL76" i="1"/>
  <c r="AL71" i="1"/>
  <c r="AL65" i="1"/>
  <c r="AL60" i="1"/>
  <c r="AL55" i="1"/>
  <c r="AL49" i="1"/>
  <c r="AL44" i="1"/>
  <c r="AL39" i="1"/>
  <c r="AL33" i="1"/>
  <c r="AL28" i="1"/>
  <c r="AL21" i="1"/>
  <c r="AL13" i="1"/>
  <c r="AT2" i="1"/>
  <c r="BJ2" i="1"/>
  <c r="BX2" i="1"/>
  <c r="AN135" i="1"/>
  <c r="AN128" i="1"/>
  <c r="AN120" i="1"/>
  <c r="AN114" i="1"/>
  <c r="AN107" i="1"/>
  <c r="AN99" i="1"/>
  <c r="AN92" i="1"/>
  <c r="AN86" i="1"/>
  <c r="AN78" i="1"/>
  <c r="AN71" i="1"/>
  <c r="AN64" i="1"/>
  <c r="AN56" i="1"/>
  <c r="AN50" i="1"/>
  <c r="AN43" i="1"/>
  <c r="AN35" i="1"/>
  <c r="AN28" i="1"/>
  <c r="AN22" i="1"/>
  <c r="AN14" i="1"/>
  <c r="AN7" i="1"/>
  <c r="AP131" i="1"/>
  <c r="AP119" i="1"/>
  <c r="AP108" i="1"/>
  <c r="AP99" i="1"/>
  <c r="AP87" i="1"/>
  <c r="AP76" i="1"/>
  <c r="AP67" i="1"/>
  <c r="AP55" i="1"/>
  <c r="AP44" i="1"/>
  <c r="AP35" i="1"/>
  <c r="AP23" i="1"/>
  <c r="AP12" i="1"/>
  <c r="AR135" i="1"/>
  <c r="AR123" i="1"/>
  <c r="AR112" i="1"/>
  <c r="AR103" i="1"/>
  <c r="AR91" i="1"/>
  <c r="AR80" i="1"/>
  <c r="AR71" i="1"/>
  <c r="AR59" i="1"/>
  <c r="AR48" i="1"/>
  <c r="AR39" i="1"/>
  <c r="AR27" i="1"/>
  <c r="AR16" i="1"/>
  <c r="AR7" i="1"/>
  <c r="AT127" i="1"/>
  <c r="AT116" i="1"/>
  <c r="AT107" i="1"/>
  <c r="AT95" i="1"/>
  <c r="AT84" i="1"/>
  <c r="AT75" i="1"/>
  <c r="AT63" i="1"/>
  <c r="AT52" i="1"/>
  <c r="AT43" i="1"/>
  <c r="AT31" i="1"/>
  <c r="AT20" i="1"/>
  <c r="AT11" i="1"/>
  <c r="AV131" i="1"/>
  <c r="AV120" i="1"/>
  <c r="AV111" i="1"/>
  <c r="AV99" i="1"/>
  <c r="AV88" i="1"/>
  <c r="AV79" i="1"/>
  <c r="AV67" i="1"/>
  <c r="AV56" i="1"/>
  <c r="AV47" i="1"/>
  <c r="AV35" i="1"/>
  <c r="AV24" i="1"/>
  <c r="AV15" i="1"/>
  <c r="AX135" i="1"/>
  <c r="AX124" i="1"/>
  <c r="AX115" i="1"/>
  <c r="AX103" i="1"/>
  <c r="AX92" i="1"/>
  <c r="AX83" i="1"/>
  <c r="AX71" i="1"/>
  <c r="AX60" i="1"/>
  <c r="AX51" i="1"/>
  <c r="AX39" i="1"/>
  <c r="AX28" i="1"/>
  <c r="AX19" i="1"/>
  <c r="AX7" i="1"/>
  <c r="AZ128" i="1"/>
  <c r="AZ119" i="1"/>
  <c r="AZ107" i="1"/>
  <c r="AZ96" i="1"/>
  <c r="AZ87" i="1"/>
  <c r="AZ75" i="1"/>
  <c r="AZ64" i="1"/>
  <c r="AZ55" i="1"/>
  <c r="AZ43" i="1"/>
  <c r="AZ32" i="1"/>
  <c r="AZ23" i="1"/>
  <c r="AZ11" i="1"/>
  <c r="BB132" i="1"/>
  <c r="BB123" i="1"/>
  <c r="BB111" i="1"/>
  <c r="BB99" i="1"/>
  <c r="BB83" i="1"/>
  <c r="BB55" i="1"/>
  <c r="BB23" i="1"/>
  <c r="BD123" i="1"/>
  <c r="BD91" i="1"/>
  <c r="BD59" i="1"/>
  <c r="BD27" i="1"/>
  <c r="BF127" i="1"/>
  <c r="BF95" i="1"/>
  <c r="BF63" i="1"/>
  <c r="BF31" i="1"/>
  <c r="BH127" i="1"/>
  <c r="BH63" i="1"/>
  <c r="BJ131" i="1"/>
  <c r="BJ67" i="1"/>
  <c r="BL135" i="1"/>
  <c r="BL71" i="1"/>
  <c r="BL7" i="1"/>
  <c r="BN75" i="1"/>
  <c r="BP133" i="1"/>
  <c r="BP4" i="1"/>
  <c r="BT20" i="1"/>
  <c r="E132" i="1" l="1"/>
  <c r="E92" i="1"/>
  <c r="E107" i="1"/>
  <c r="E73" i="1"/>
  <c r="E112" i="1"/>
  <c r="E80" i="1"/>
  <c r="E79" i="1"/>
  <c r="E70" i="1"/>
  <c r="E121" i="1"/>
  <c r="E105" i="1"/>
  <c r="E89" i="1"/>
  <c r="E131" i="1"/>
  <c r="E99" i="1"/>
  <c r="E104" i="1"/>
  <c r="E135" i="1"/>
  <c r="E118" i="1"/>
  <c r="E102" i="1"/>
  <c r="E117" i="1"/>
  <c r="E85" i="1"/>
  <c r="E71" i="1"/>
  <c r="E69" i="1"/>
  <c r="E123" i="1"/>
  <c r="E91" i="1"/>
  <c r="E128" i="1"/>
  <c r="E96" i="1"/>
  <c r="E127" i="1"/>
  <c r="E95" i="1"/>
  <c r="E130" i="1"/>
  <c r="E114" i="1"/>
  <c r="E98" i="1"/>
  <c r="E82" i="1"/>
  <c r="E129" i="1"/>
  <c r="E113" i="1"/>
  <c r="E97" i="1"/>
  <c r="E81" i="1"/>
  <c r="E72" i="1"/>
  <c r="E108" i="1"/>
  <c r="E111" i="1"/>
  <c r="E122" i="1"/>
  <c r="E106" i="1"/>
  <c r="E90" i="1"/>
  <c r="E75" i="1"/>
  <c r="E84" i="1"/>
  <c r="E124" i="1"/>
  <c r="E2" i="1"/>
  <c r="E103" i="1"/>
  <c r="E134" i="1"/>
  <c r="E86" i="1"/>
  <c r="E133" i="1"/>
  <c r="E101" i="1"/>
  <c r="E76" i="1"/>
  <c r="E100" i="1"/>
  <c r="E74" i="1"/>
  <c r="E116" i="1"/>
  <c r="E115" i="1"/>
  <c r="E83" i="1"/>
  <c r="E120" i="1"/>
  <c r="E88" i="1"/>
  <c r="E119" i="1"/>
  <c r="E87" i="1"/>
  <c r="E126" i="1"/>
  <c r="E110" i="1"/>
  <c r="E94" i="1"/>
  <c r="E78" i="1"/>
  <c r="E125" i="1"/>
  <c r="E109" i="1"/>
  <c r="E93" i="1"/>
  <c r="E77" i="1"/>
  <c r="E66" i="1"/>
  <c r="E50" i="1"/>
  <c r="E34" i="1"/>
  <c r="E18" i="1"/>
  <c r="E53" i="1"/>
  <c r="E37" i="1"/>
  <c r="E21" i="1"/>
  <c r="E68" i="1"/>
  <c r="E52" i="1"/>
  <c r="E36" i="1"/>
  <c r="E20" i="1"/>
  <c r="E55" i="1"/>
  <c r="E39" i="1"/>
  <c r="E23" i="1"/>
  <c r="E7" i="1"/>
  <c r="E4" i="1"/>
  <c r="E62" i="1"/>
  <c r="E46" i="1"/>
  <c r="E30" i="1"/>
  <c r="E14" i="1"/>
  <c r="E65" i="1"/>
  <c r="E49" i="1"/>
  <c r="E33" i="1"/>
  <c r="E17" i="1"/>
  <c r="E64" i="1"/>
  <c r="E48" i="1"/>
  <c r="E32" i="1"/>
  <c r="E16" i="1"/>
  <c r="E67" i="1"/>
  <c r="E51" i="1"/>
  <c r="E35" i="1"/>
  <c r="E19" i="1"/>
  <c r="E3" i="1"/>
  <c r="E58" i="1"/>
  <c r="E42" i="1"/>
  <c r="E26" i="1"/>
  <c r="E10" i="1"/>
  <c r="E61" i="1"/>
  <c r="E45" i="1"/>
  <c r="E29" i="1"/>
  <c r="E13" i="1"/>
  <c r="E60" i="1"/>
  <c r="E44" i="1"/>
  <c r="E28" i="1"/>
  <c r="E12" i="1"/>
  <c r="E63" i="1"/>
  <c r="E47" i="1"/>
  <c r="E31" i="1"/>
  <c r="E15" i="1"/>
  <c r="E54" i="1"/>
  <c r="E38" i="1"/>
  <c r="E22" i="1"/>
  <c r="E57" i="1"/>
  <c r="E41" i="1"/>
  <c r="E25" i="1"/>
  <c r="E9" i="1"/>
  <c r="E56" i="1"/>
  <c r="E40" i="1"/>
  <c r="E24" i="1"/>
  <c r="E8" i="1"/>
  <c r="E59" i="1"/>
  <c r="E43" i="1"/>
  <c r="E27" i="1"/>
  <c r="E11" i="1"/>
  <c r="CJ137" i="1"/>
  <c r="CF137" i="1"/>
  <c r="CH137" i="1"/>
  <c r="D7" i="1" l="1"/>
  <c r="D4" i="1"/>
  <c r="D18" i="1"/>
  <c r="D25" i="1"/>
  <c r="D34" i="1"/>
  <c r="D71" i="1"/>
  <c r="D15" i="1"/>
  <c r="D107" i="1"/>
  <c r="D32" i="1"/>
  <c r="D24" i="1"/>
  <c r="D19" i="1"/>
  <c r="D16" i="1"/>
  <c r="D82" i="1"/>
  <c r="D20" i="1"/>
  <c r="D52" i="1"/>
  <c r="D93" i="1"/>
  <c r="D78" i="1"/>
  <c r="D105" i="1"/>
  <c r="D128" i="1"/>
  <c r="D8" i="1"/>
  <c r="D97" i="1"/>
  <c r="D76" i="1"/>
  <c r="D119" i="1"/>
  <c r="D55" i="1"/>
  <c r="D134" i="1"/>
  <c r="D72" i="1"/>
  <c r="D116" i="1"/>
  <c r="D75" i="1"/>
  <c r="D70" i="1"/>
  <c r="D101" i="1"/>
  <c r="D120" i="1"/>
  <c r="D106" i="1"/>
  <c r="D129" i="1"/>
  <c r="D132" i="1"/>
  <c r="D131" i="1"/>
  <c r="D67" i="1"/>
  <c r="D90" i="1"/>
  <c r="D65" i="1"/>
  <c r="D50" i="1"/>
  <c r="D111" i="1"/>
  <c r="D26" i="1"/>
  <c r="D130" i="1"/>
  <c r="D11" i="1"/>
  <c r="D41" i="1"/>
  <c r="D37" i="1"/>
  <c r="D110" i="1"/>
  <c r="D86" i="1"/>
  <c r="D2" i="1"/>
  <c r="D133" i="1"/>
  <c r="D135" i="1"/>
  <c r="D124" i="1"/>
  <c r="D125" i="1"/>
  <c r="D121" i="1"/>
  <c r="D54" i="1"/>
  <c r="D96" i="1"/>
  <c r="D57" i="1"/>
  <c r="D40" i="1"/>
  <c r="D103" i="1"/>
  <c r="D39" i="1"/>
  <c r="D98" i="1"/>
  <c r="D127" i="1"/>
  <c r="D58" i="1"/>
  <c r="D42" i="1"/>
  <c r="D12" i="1"/>
  <c r="D27" i="1"/>
  <c r="D46" i="1"/>
  <c r="D73" i="1"/>
  <c r="D88" i="1"/>
  <c r="D62" i="1"/>
  <c r="D89" i="1"/>
  <c r="D100" i="1"/>
  <c r="D115" i="1"/>
  <c r="D51" i="1"/>
  <c r="D66" i="1"/>
  <c r="D13" i="1"/>
  <c r="D77" i="1"/>
  <c r="D63" i="1"/>
  <c r="D61" i="1"/>
  <c r="D5" i="1"/>
  <c r="D114" i="1"/>
  <c r="D80" i="1"/>
  <c r="D60" i="1"/>
  <c r="D113" i="1"/>
  <c r="D84" i="1"/>
  <c r="D69" i="1"/>
  <c r="D102" i="1"/>
  <c r="D36" i="1"/>
  <c r="D108" i="1"/>
  <c r="D9" i="1"/>
  <c r="D94" i="1"/>
  <c r="D21" i="1"/>
  <c r="D83" i="1"/>
  <c r="D48" i="1"/>
  <c r="D81" i="1"/>
  <c r="D118" i="1"/>
  <c r="D126" i="1"/>
  <c r="D22" i="1"/>
  <c r="D53" i="1"/>
  <c r="D64" i="1"/>
  <c r="D74" i="1"/>
  <c r="D17" i="1"/>
  <c r="D3" i="1"/>
  <c r="D87" i="1"/>
  <c r="D23" i="1"/>
  <c r="D117" i="1"/>
  <c r="D79" i="1"/>
  <c r="D85" i="1"/>
  <c r="D29" i="1"/>
  <c r="D122" i="1"/>
  <c r="D14" i="1"/>
  <c r="D45" i="1"/>
  <c r="D56" i="1"/>
  <c r="D30" i="1"/>
  <c r="D49" i="1"/>
  <c r="D68" i="1"/>
  <c r="D99" i="1"/>
  <c r="D35" i="1"/>
  <c r="D10" i="1"/>
  <c r="D112" i="1"/>
  <c r="D92" i="1"/>
  <c r="D31" i="1"/>
  <c r="D44" i="1"/>
  <c r="D109" i="1"/>
  <c r="D38" i="1"/>
  <c r="D28" i="1"/>
  <c r="D95" i="1"/>
  <c r="D33" i="1"/>
  <c r="D91" i="1"/>
  <c r="D123" i="1"/>
  <c r="D47" i="1"/>
  <c r="D104" i="1"/>
  <c r="D59" i="1"/>
  <c r="D43" i="1"/>
</calcChain>
</file>

<file path=xl/sharedStrings.xml><?xml version="1.0" encoding="utf-8"?>
<sst xmlns="http://schemas.openxmlformats.org/spreadsheetml/2006/main" count="350" uniqueCount="317">
  <si>
    <t>Country</t>
  </si>
  <si>
    <t>ISO3</t>
  </si>
  <si>
    <t>Rank</t>
  </si>
  <si>
    <t>Total Population</t>
  </si>
  <si>
    <t>Manpower Available</t>
  </si>
  <si>
    <t>Fit-for-Service</t>
  </si>
  <si>
    <t>Reaching Military Age</t>
  </si>
  <si>
    <t>Total Military Personnel</t>
  </si>
  <si>
    <t>Active Personnel</t>
  </si>
  <si>
    <t>Reserve Personnel</t>
  </si>
  <si>
    <t>Total Aircraft Strength</t>
  </si>
  <si>
    <t>Fighter Aircraft</t>
  </si>
  <si>
    <t>Attack Aircraft</t>
  </si>
  <si>
    <t>Transport Aircraft</t>
  </si>
  <si>
    <t>Trainer Aircraft</t>
  </si>
  <si>
    <t>Total Helicopter Strength</t>
  </si>
  <si>
    <t>Attack Helicopters</t>
  </si>
  <si>
    <t>Combat Tanks</t>
  </si>
  <si>
    <t>Armored Fighting Vehicles</t>
  </si>
  <si>
    <t>Self-Propelled Artillery</t>
  </si>
  <si>
    <t>Towed Artillery</t>
  </si>
  <si>
    <t>Rocket Projectors</t>
  </si>
  <si>
    <t>Total Naval Assets</t>
  </si>
  <si>
    <t>Aircraft Carriers</t>
  </si>
  <si>
    <t>Frigates</t>
  </si>
  <si>
    <t>Destroyers</t>
  </si>
  <si>
    <t>Corvettes</t>
  </si>
  <si>
    <t>Submarines</t>
  </si>
  <si>
    <t>Patrol Craft</t>
  </si>
  <si>
    <t>Mine Warfare Vessels</t>
  </si>
  <si>
    <t>Production (bbl/dy)</t>
  </si>
  <si>
    <t>Consumption (bbl/dy)</t>
  </si>
  <si>
    <t>Proven Reserves (bbl)</t>
  </si>
  <si>
    <t>Labor Force</t>
  </si>
  <si>
    <t>Merchant Marine Strength</t>
  </si>
  <si>
    <t>Major Ports / Terminals</t>
  </si>
  <si>
    <t>Roadway Coverage (km)</t>
  </si>
  <si>
    <t>Railway Coverage (km)</t>
  </si>
  <si>
    <t>Serivecable Airports</t>
  </si>
  <si>
    <t>Defense Budget</t>
  </si>
  <si>
    <t>External Debt</t>
  </si>
  <si>
    <t>Foreign Exchange / Gold</t>
  </si>
  <si>
    <t>Purchasing Power Parity</t>
  </si>
  <si>
    <t>Square Land Area (km)</t>
  </si>
  <si>
    <t>Coastline (km)</t>
  </si>
  <si>
    <t>Shared Borders (km)</t>
  </si>
  <si>
    <t>Waterways (km)</t>
  </si>
  <si>
    <t>United States</t>
  </si>
  <si>
    <t>USA</t>
  </si>
  <si>
    <t>Russia</t>
  </si>
  <si>
    <t>RUS</t>
  </si>
  <si>
    <t>China</t>
  </si>
  <si>
    <t>CHN</t>
  </si>
  <si>
    <t>India</t>
  </si>
  <si>
    <t>IND</t>
  </si>
  <si>
    <t>France</t>
  </si>
  <si>
    <t>FRA</t>
  </si>
  <si>
    <t>United Kingdom</t>
  </si>
  <si>
    <t>UKD</t>
  </si>
  <si>
    <t>Japan</t>
  </si>
  <si>
    <t>JPN</t>
  </si>
  <si>
    <t>Turkey</t>
  </si>
  <si>
    <t>TUR</t>
  </si>
  <si>
    <t>Germany</t>
  </si>
  <si>
    <t>GER</t>
  </si>
  <si>
    <t>Egypt</t>
  </si>
  <si>
    <t>EGP</t>
  </si>
  <si>
    <t>Italy</t>
  </si>
  <si>
    <t>ITA</t>
  </si>
  <si>
    <t>South Korea</t>
  </si>
  <si>
    <t>SKO</t>
  </si>
  <si>
    <t>Pakistan</t>
  </si>
  <si>
    <t>PAK</t>
  </si>
  <si>
    <t>Indonesia</t>
  </si>
  <si>
    <t>INO</t>
  </si>
  <si>
    <t>Israel</t>
  </si>
  <si>
    <t>ISR</t>
  </si>
  <si>
    <t>Minimum not met.</t>
  </si>
  <si>
    <t>Vietnam</t>
  </si>
  <si>
    <t>VTN</t>
  </si>
  <si>
    <t>Brazil</t>
  </si>
  <si>
    <t>BRA</t>
  </si>
  <si>
    <t>Taiwan</t>
  </si>
  <si>
    <t>TAI</t>
  </si>
  <si>
    <t>Poland</t>
  </si>
  <si>
    <t>POL</t>
  </si>
  <si>
    <t>Thailand</t>
  </si>
  <si>
    <t>THA</t>
  </si>
  <si>
    <t>Iran</t>
  </si>
  <si>
    <t>IRN</t>
  </si>
  <si>
    <t>Australia</t>
  </si>
  <si>
    <t>AUS</t>
  </si>
  <si>
    <t>North Korea</t>
  </si>
  <si>
    <t>NKO</t>
  </si>
  <si>
    <t>Saudi Arabia</t>
  </si>
  <si>
    <t>SAR</t>
  </si>
  <si>
    <t>Algeria</t>
  </si>
  <si>
    <t>ALG</t>
  </si>
  <si>
    <t>Canada</t>
  </si>
  <si>
    <t>CAN</t>
  </si>
  <si>
    <t>Spain</t>
  </si>
  <si>
    <t>SPA</t>
  </si>
  <si>
    <t>Greece</t>
  </si>
  <si>
    <t>GRE</t>
  </si>
  <si>
    <t>Sweden</t>
  </si>
  <si>
    <t>SWE</t>
  </si>
  <si>
    <t>Ukraine</t>
  </si>
  <si>
    <t>UKR</t>
  </si>
  <si>
    <t>Myanmar</t>
  </si>
  <si>
    <t>MYA</t>
  </si>
  <si>
    <t>Czech Republic</t>
  </si>
  <si>
    <t>CZR</t>
  </si>
  <si>
    <t>Malaysia</t>
  </si>
  <si>
    <t>MLY</t>
  </si>
  <si>
    <t>Mexico</t>
  </si>
  <si>
    <t>MEX</t>
  </si>
  <si>
    <t>Argentina</t>
  </si>
  <si>
    <t>ARG</t>
  </si>
  <si>
    <t>Norway</t>
  </si>
  <si>
    <t>NOR</t>
  </si>
  <si>
    <t>Switzerland</t>
  </si>
  <si>
    <t>SWI</t>
  </si>
  <si>
    <t>Netherlands</t>
  </si>
  <si>
    <t>NET</t>
  </si>
  <si>
    <t>Peru</t>
  </si>
  <si>
    <t>PER</t>
  </si>
  <si>
    <t>Colombia</t>
  </si>
  <si>
    <t>COL</t>
  </si>
  <si>
    <t>Ethiopia</t>
  </si>
  <si>
    <t>ETH</t>
  </si>
  <si>
    <t>Romania</t>
  </si>
  <si>
    <t>ROM</t>
  </si>
  <si>
    <t>Nigeria</t>
  </si>
  <si>
    <t>NIG</t>
  </si>
  <si>
    <t>Syria</t>
  </si>
  <si>
    <t>SYR</t>
  </si>
  <si>
    <t>Venezuela</t>
  </si>
  <si>
    <t>VEN</t>
  </si>
  <si>
    <t>South Africa</t>
  </si>
  <si>
    <t>SAF</t>
  </si>
  <si>
    <t>Chile</t>
  </si>
  <si>
    <t>CHI</t>
  </si>
  <si>
    <t>Uzbekistan</t>
  </si>
  <si>
    <t>UZB</t>
  </si>
  <si>
    <t>Belarus</t>
  </si>
  <si>
    <t>BLR</t>
  </si>
  <si>
    <t>Philippines</t>
  </si>
  <si>
    <t>PHI</t>
  </si>
  <si>
    <t>Angola</t>
  </si>
  <si>
    <t>ANG</t>
  </si>
  <si>
    <t>Denmark</t>
  </si>
  <si>
    <t>DEN</t>
  </si>
  <si>
    <t>Austria</t>
  </si>
  <si>
    <t>AST</t>
  </si>
  <si>
    <t>Morocco</t>
  </si>
  <si>
    <t>MOR</t>
  </si>
  <si>
    <t>Kazakhstan</t>
  </si>
  <si>
    <t>KAZ</t>
  </si>
  <si>
    <t>Finland</t>
  </si>
  <si>
    <t>FIN</t>
  </si>
  <si>
    <t>Bangladesh</t>
  </si>
  <si>
    <t>BAN</t>
  </si>
  <si>
    <t>Azerbaijan</t>
  </si>
  <si>
    <t>AZR</t>
  </si>
  <si>
    <t>Iraq</t>
  </si>
  <si>
    <t>IRQ</t>
  </si>
  <si>
    <t>United Arab Emirates</t>
  </si>
  <si>
    <t>UAE</t>
  </si>
  <si>
    <t>Bolivia</t>
  </si>
  <si>
    <t>BOL</t>
  </si>
  <si>
    <t>Portugal</t>
  </si>
  <si>
    <t>POR</t>
  </si>
  <si>
    <t>Hungary</t>
  </si>
  <si>
    <t>HUN</t>
  </si>
  <si>
    <t>Yemen</t>
  </si>
  <si>
    <t>YEM</t>
  </si>
  <si>
    <t>Singapore</t>
  </si>
  <si>
    <t>SIN</t>
  </si>
  <si>
    <t>Belgium</t>
  </si>
  <si>
    <t>BEL</t>
  </si>
  <si>
    <t>Bulgaria</t>
  </si>
  <si>
    <t>BUL</t>
  </si>
  <si>
    <t>Croatia</t>
  </si>
  <si>
    <t>CRO</t>
  </si>
  <si>
    <t>Afghanistan</t>
  </si>
  <si>
    <t>AFG</t>
  </si>
  <si>
    <t>Ecuador</t>
  </si>
  <si>
    <t>ECU</t>
  </si>
  <si>
    <t>Sudan</t>
  </si>
  <si>
    <t>SUD</t>
  </si>
  <si>
    <t>Jordan</t>
  </si>
  <si>
    <t>JOR</t>
  </si>
  <si>
    <t>Libya</t>
  </si>
  <si>
    <t>LIB</t>
  </si>
  <si>
    <t>Slovakia</t>
  </si>
  <si>
    <t>SLK</t>
  </si>
  <si>
    <t>Cuba</t>
  </si>
  <si>
    <t>CUB</t>
  </si>
  <si>
    <t>Democratic Republic of the Congo</t>
  </si>
  <si>
    <t>DRC</t>
  </si>
  <si>
    <t>Kenya</t>
  </si>
  <si>
    <t>KEN</t>
  </si>
  <si>
    <t>Tunisia</t>
  </si>
  <si>
    <t>TUN</t>
  </si>
  <si>
    <t>Oman</t>
  </si>
  <si>
    <t>OMA</t>
  </si>
  <si>
    <t>Kuwait</t>
  </si>
  <si>
    <t>KUW</t>
  </si>
  <si>
    <t>Zimbabwe</t>
  </si>
  <si>
    <t>ZIM</t>
  </si>
  <si>
    <t>Georgia</t>
  </si>
  <si>
    <t>GEO</t>
  </si>
  <si>
    <t>Serbia</t>
  </si>
  <si>
    <t>SER</t>
  </si>
  <si>
    <t>Sri Lanka</t>
  </si>
  <si>
    <t>SRL</t>
  </si>
  <si>
    <t>Zambia</t>
  </si>
  <si>
    <t>ZAM</t>
  </si>
  <si>
    <t>Turkmenistan</t>
  </si>
  <si>
    <t>TKM</t>
  </si>
  <si>
    <t>Mongolia</t>
  </si>
  <si>
    <t>MON</t>
  </si>
  <si>
    <t>Chad</t>
  </si>
  <si>
    <t>CHD</t>
  </si>
  <si>
    <t>Cambodia</t>
  </si>
  <si>
    <t>CMB</t>
  </si>
  <si>
    <t>Albania</t>
  </si>
  <si>
    <t>ALB</t>
  </si>
  <si>
    <t>Qatar</t>
  </si>
  <si>
    <t>QTR</t>
  </si>
  <si>
    <t>Uganda</t>
  </si>
  <si>
    <t>UGA</t>
  </si>
  <si>
    <t>Armenia</t>
  </si>
  <si>
    <t>ARM</t>
  </si>
  <si>
    <t>Bahrain</t>
  </si>
  <si>
    <t>BAH</t>
  </si>
  <si>
    <t>Lithuania</t>
  </si>
  <si>
    <t>LIT</t>
  </si>
  <si>
    <t>Tanzania</t>
  </si>
  <si>
    <t>TAN</t>
  </si>
  <si>
    <t>Nepal</t>
  </si>
  <si>
    <t>NEP</t>
  </si>
  <si>
    <t>Lebanon</t>
  </si>
  <si>
    <t>LEB</t>
  </si>
  <si>
    <t>South Sudan</t>
  </si>
  <si>
    <t>SSU</t>
  </si>
  <si>
    <t>Guatemala</t>
  </si>
  <si>
    <t>GUA</t>
  </si>
  <si>
    <t>Ghana</t>
  </si>
  <si>
    <t>GHA</t>
  </si>
  <si>
    <t>New Zealand</t>
  </si>
  <si>
    <t>NWZ</t>
  </si>
  <si>
    <t>Latvia</t>
  </si>
  <si>
    <t>LAT</t>
  </si>
  <si>
    <t>Uruguay</t>
  </si>
  <si>
    <t>URU</t>
  </si>
  <si>
    <t>Paraguay</t>
  </si>
  <si>
    <t>PAR</t>
  </si>
  <si>
    <t>Honduras</t>
  </si>
  <si>
    <t>HON</t>
  </si>
  <si>
    <t>Botswana</t>
  </si>
  <si>
    <t>BOT</t>
  </si>
  <si>
    <t>Kyrgyzstan</t>
  </si>
  <si>
    <t>KYR</t>
  </si>
  <si>
    <t>Mozambique</t>
  </si>
  <si>
    <t>MOZ</t>
  </si>
  <si>
    <t>Estonia</t>
  </si>
  <si>
    <t>EST</t>
  </si>
  <si>
    <t>Cameroon</t>
  </si>
  <si>
    <t>CAM</t>
  </si>
  <si>
    <t>Tajikistan</t>
  </si>
  <si>
    <t>TAJ</t>
  </si>
  <si>
    <t>Slovenia</t>
  </si>
  <si>
    <t>SLV</t>
  </si>
  <si>
    <t>Niger</t>
  </si>
  <si>
    <t>NGR</t>
  </si>
  <si>
    <t>Nicaragua</t>
  </si>
  <si>
    <t>NIC</t>
  </si>
  <si>
    <t>Ivory Coast</t>
  </si>
  <si>
    <t>IVC</t>
  </si>
  <si>
    <t>Mali</t>
  </si>
  <si>
    <t>MAL</t>
  </si>
  <si>
    <t>Republic of the Congo</t>
  </si>
  <si>
    <t>ROC</t>
  </si>
  <si>
    <t>Madagascar</t>
  </si>
  <si>
    <t>MAD</t>
  </si>
  <si>
    <t>Gabon</t>
  </si>
  <si>
    <t>GAB</t>
  </si>
  <si>
    <t>Bosnia and Herzegovina</t>
  </si>
  <si>
    <t>BOS</t>
  </si>
  <si>
    <t>Macedonia</t>
  </si>
  <si>
    <t>MAC</t>
  </si>
  <si>
    <t>Dominican Republic</t>
  </si>
  <si>
    <t>DOM</t>
  </si>
  <si>
    <t>Laos</t>
  </si>
  <si>
    <t>LAO</t>
  </si>
  <si>
    <t>El Salvador</t>
  </si>
  <si>
    <t>ESL</t>
  </si>
  <si>
    <t>Panama</t>
  </si>
  <si>
    <t>PAN</t>
  </si>
  <si>
    <t>Namibia</t>
  </si>
  <si>
    <t>NAM</t>
  </si>
  <si>
    <t>Somalia</t>
  </si>
  <si>
    <t>SOM</t>
  </si>
  <si>
    <t>Central African Republic</t>
  </si>
  <si>
    <t>CAR</t>
  </si>
  <si>
    <t>Mauritania</t>
  </si>
  <si>
    <t>MAU</t>
  </si>
  <si>
    <t>Sierra Leone</t>
  </si>
  <si>
    <t>SIE</t>
  </si>
  <si>
    <t>Suriname</t>
  </si>
  <si>
    <t>SUR</t>
  </si>
  <si>
    <t>Bhutan</t>
  </si>
  <si>
    <t>BUT</t>
  </si>
  <si>
    <t>MAX/ MIN VALS</t>
  </si>
  <si>
    <t>Aggregate</t>
  </si>
  <si>
    <t>Calc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</si>
</sst>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7" fillId="3" borderId="0" xfId="7"/>
    <xf numFmtId="0" fontId="8" fillId="4" borderId="0" xfId="8"/>
    <xf numFmtId="0" fontId="6" fillId="2" borderId="0" xfId="6"/>
    <xf numFmtId="0" fontId="13" fillId="7" borderId="7" xfId="13"/>
    <xf numFmtId="0" fontId="7" fillId="33" borderId="0" xfId="7" applyFill="1"/>
    <xf numFmtId="0" fontId="0" fillId="33" borderId="0" xfId="0" applyFill="1"/>
    <xf numFmtId="0" fontId="6" fillId="33" borderId="0" xfId="6" applyFill="1"/>
    <xf numFmtId="0" fontId="8" fillId="33" borderId="0" xfId="8" applyFill="1"/>
    <xf numFmtId="0" fontId="11" fillId="6" borderId="4" xfId="11"/>
    <xf numFmtId="0" fontId="11" fillId="33" borderId="4" xfId="11" applyFill="1"/>
    <xf numFmtId="0" fontId="0" fillId="34" borderId="0" xfId="0" applyFill="1"/>
    <xf numFmtId="0" fontId="8" fillId="34" borderId="0" xfId="8" applyFill="1"/>
    <xf numFmtId="0" fontId="11" fillId="34" borderId="4" xfId="11" applyFill="1"/>
    <xf numFmtId="0" fontId="7" fillId="34" borderId="0" xfId="7" applyFill="1"/>
    <xf numFmtId="0" fontId="6" fillId="34" borderId="0" xfId="6" applyFill="1"/>
    <xf numFmtId="0" fontId="7" fillId="3" borderId="4" xfId="7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137"/>
  <sheetViews>
    <sheetView tabSelected="1" zoomScale="200" zoomScaleNormal="200" workbookViewId="0">
      <selection activeCell="E5" sqref="E5"/>
    </sheetView>
  </sheetViews>
  <sheetFormatPr defaultRowHeight="14.4" x14ac:dyDescent="0.3"/>
  <cols>
    <col min="1" max="1" width="29.21875" bestFit="1" customWidth="1"/>
    <col min="2" max="2" width="5.33203125" bestFit="1" customWidth="1"/>
    <col min="3" max="3" width="5" bestFit="1" customWidth="1"/>
    <col min="4" max="4" width="10" style="9" customWidth="1"/>
    <col min="5" max="5" width="17.6640625" style="9" customWidth="1"/>
    <col min="6" max="6" width="14.5546875" style="1" bestFit="1" customWidth="1"/>
    <col min="7" max="7" width="17.88671875" bestFit="1" customWidth="1"/>
    <col min="8" max="8" width="17.88671875" style="3" customWidth="1"/>
    <col min="9" max="9" width="12.5546875" bestFit="1" customWidth="1"/>
    <col min="10" max="10" width="12.5546875" style="3" customWidth="1"/>
    <col min="11" max="11" width="18.6640625" bestFit="1" customWidth="1"/>
    <col min="12" max="12" width="18.6640625" style="3" customWidth="1"/>
    <col min="13" max="13" width="20.5546875" bestFit="1" customWidth="1"/>
    <col min="14" max="14" width="20.5546875" style="3" customWidth="1"/>
    <col min="15" max="15" width="14.5546875" bestFit="1" customWidth="1"/>
    <col min="16" max="16" width="14.5546875" style="3" customWidth="1"/>
    <col min="17" max="17" width="16" bestFit="1" customWidth="1"/>
    <col min="18" max="18" width="16" style="3" customWidth="1"/>
    <col min="19" max="19" width="19.21875" bestFit="1" customWidth="1"/>
    <col min="20" max="20" width="19.21875" style="3" customWidth="1"/>
    <col min="21" max="21" width="13.21875" bestFit="1" customWidth="1"/>
    <col min="22" max="22" width="13.21875" style="3" customWidth="1"/>
    <col min="23" max="23" width="12.77734375" bestFit="1" customWidth="1"/>
    <col min="24" max="24" width="12.77734375" style="3" customWidth="1"/>
    <col min="25" max="25" width="15.5546875" bestFit="1" customWidth="1"/>
    <col min="26" max="26" width="15.5546875" style="3" customWidth="1"/>
    <col min="27" max="27" width="13.44140625" bestFit="1" customWidth="1"/>
    <col min="28" max="28" width="13.44140625" style="3" customWidth="1"/>
    <col min="29" max="29" width="21.6640625" bestFit="1" customWidth="1"/>
    <col min="30" max="30" width="21.6640625" style="3" customWidth="1"/>
    <col min="31" max="31" width="16" bestFit="1" customWidth="1"/>
    <col min="32" max="32" width="16" style="3" customWidth="1"/>
    <col min="33" max="33" width="12.5546875" bestFit="1" customWidth="1"/>
    <col min="34" max="34" width="12.5546875" style="3" customWidth="1"/>
    <col min="35" max="35" width="22.21875" bestFit="1" customWidth="1"/>
    <col min="36" max="36" width="22.21875" style="3" customWidth="1"/>
    <col min="37" max="37" width="19.33203125" bestFit="1" customWidth="1"/>
    <col min="38" max="38" width="19.33203125" style="3" customWidth="1"/>
    <col min="39" max="39" width="13.44140625" bestFit="1" customWidth="1"/>
    <col min="40" max="40" width="13.44140625" style="3" customWidth="1"/>
    <col min="41" max="41" width="15.5546875" bestFit="1" customWidth="1"/>
    <col min="42" max="42" width="15.5546875" style="3" customWidth="1"/>
    <col min="43" max="43" width="16" bestFit="1" customWidth="1"/>
    <col min="44" max="44" width="16" style="3" customWidth="1"/>
    <col min="45" max="45" width="14" bestFit="1" customWidth="1"/>
    <col min="46" max="46" width="14" style="3" customWidth="1"/>
    <col min="48" max="48" width="8.88671875" style="3"/>
    <col min="49" max="49" width="9.77734375" bestFit="1" customWidth="1"/>
    <col min="50" max="50" width="9.77734375" style="3" customWidth="1"/>
    <col min="52" max="52" width="8.88671875" style="3"/>
    <col min="53" max="53" width="10.33203125" bestFit="1" customWidth="1"/>
    <col min="54" max="54" width="10.33203125" style="3" customWidth="1"/>
    <col min="55" max="55" width="10.44140625" bestFit="1" customWidth="1"/>
    <col min="56" max="56" width="10.44140625" style="3" customWidth="1"/>
    <col min="57" max="57" width="18.88671875" bestFit="1" customWidth="1"/>
    <col min="58" max="58" width="18.88671875" style="3" customWidth="1"/>
    <col min="59" max="59" width="16.6640625" bestFit="1" customWidth="1"/>
    <col min="60" max="60" width="16.6640625" style="3" customWidth="1"/>
    <col min="61" max="61" width="18.6640625" bestFit="1" customWidth="1"/>
    <col min="62" max="62" width="18.6640625" style="3" customWidth="1"/>
    <col min="63" max="63" width="18.5546875" bestFit="1" customWidth="1"/>
    <col min="64" max="64" width="18.5546875" style="3" customWidth="1"/>
    <col min="65" max="65" width="10.6640625" bestFit="1" customWidth="1"/>
    <col min="66" max="66" width="10.6640625" style="3" customWidth="1"/>
    <col min="67" max="67" width="22.6640625" bestFit="1" customWidth="1"/>
    <col min="68" max="68" width="22.6640625" style="3" customWidth="1"/>
    <col min="69" max="69" width="20.33203125" bestFit="1" customWidth="1"/>
    <col min="70" max="70" width="20.33203125" style="3" customWidth="1"/>
    <col min="71" max="71" width="20.88671875" bestFit="1" customWidth="1"/>
    <col min="72" max="72" width="20.88671875" style="3" customWidth="1"/>
    <col min="73" max="73" width="19.6640625" bestFit="1" customWidth="1"/>
    <col min="74" max="74" width="19.6640625" style="3" customWidth="1"/>
    <col min="75" max="75" width="17.33203125" bestFit="1" customWidth="1"/>
    <col min="76" max="76" width="17.33203125" style="3" customWidth="1"/>
    <col min="77" max="77" width="13.88671875" bestFit="1" customWidth="1"/>
    <col min="78" max="78" width="13.88671875" style="3" customWidth="1"/>
    <col min="79" max="79" width="12" style="1" bestFit="1" customWidth="1"/>
    <col min="80" max="80" width="20.77734375" bestFit="1" customWidth="1"/>
    <col min="81" max="81" width="20.77734375" style="3" customWidth="1"/>
    <col min="82" max="82" width="20.6640625" bestFit="1" customWidth="1"/>
    <col min="83" max="83" width="20.6640625" style="3" customWidth="1"/>
    <col min="84" max="84" width="19.33203125" style="2" bestFit="1" customWidth="1"/>
    <col min="85" max="85" width="19.33203125" style="3" customWidth="1"/>
    <col min="86" max="86" width="12.5546875" style="2" bestFit="1" customWidth="1"/>
    <col min="87" max="87" width="12.5546875" style="3" customWidth="1"/>
    <col min="88" max="88" width="17.5546875" style="2" bestFit="1" customWidth="1"/>
    <col min="89" max="89" width="17.5546875" style="3" customWidth="1"/>
    <col min="90" max="90" width="16.21875" style="1" bestFit="1" customWidth="1"/>
  </cols>
  <sheetData>
    <row r="1" spans="1:90" s="6" customFormat="1" x14ac:dyDescent="0.3">
      <c r="A1" s="6" t="s">
        <v>0</v>
      </c>
      <c r="B1" s="6" t="s">
        <v>1</v>
      </c>
      <c r="C1" s="6" t="s">
        <v>2</v>
      </c>
      <c r="D1" s="10" t="s">
        <v>316</v>
      </c>
      <c r="E1" s="10" t="s">
        <v>315</v>
      </c>
      <c r="F1" s="5" t="s">
        <v>3</v>
      </c>
      <c r="G1" s="6" t="s">
        <v>4</v>
      </c>
      <c r="H1" s="7"/>
      <c r="I1" s="6" t="s">
        <v>5</v>
      </c>
      <c r="J1" s="7"/>
      <c r="K1" s="6" t="s">
        <v>6</v>
      </c>
      <c r="L1" s="7"/>
      <c r="M1" s="6" t="s">
        <v>7</v>
      </c>
      <c r="N1" s="7"/>
      <c r="O1" s="6" t="s">
        <v>8</v>
      </c>
      <c r="P1" s="7"/>
      <c r="Q1" s="6" t="s">
        <v>9</v>
      </c>
      <c r="R1" s="7"/>
      <c r="S1" s="6" t="s">
        <v>10</v>
      </c>
      <c r="T1" s="7"/>
      <c r="U1" s="6" t="s">
        <v>11</v>
      </c>
      <c r="V1" s="7"/>
      <c r="W1" s="6" t="s">
        <v>12</v>
      </c>
      <c r="X1" s="7"/>
      <c r="Y1" s="6" t="s">
        <v>13</v>
      </c>
      <c r="Z1" s="7"/>
      <c r="AA1" s="6" t="s">
        <v>14</v>
      </c>
      <c r="AB1" s="7"/>
      <c r="AC1" s="6" t="s">
        <v>15</v>
      </c>
      <c r="AD1" s="7"/>
      <c r="AE1" s="6" t="s">
        <v>16</v>
      </c>
      <c r="AF1" s="7"/>
      <c r="AG1" s="6" t="s">
        <v>17</v>
      </c>
      <c r="AH1" s="7"/>
      <c r="AI1" s="6" t="s">
        <v>18</v>
      </c>
      <c r="AJ1" s="7"/>
      <c r="AK1" s="6" t="s">
        <v>19</v>
      </c>
      <c r="AL1" s="7"/>
      <c r="AM1" s="6" t="s">
        <v>20</v>
      </c>
      <c r="AN1" s="7"/>
      <c r="AO1" s="6" t="s">
        <v>21</v>
      </c>
      <c r="AP1" s="7"/>
      <c r="AQ1" s="6" t="s">
        <v>22</v>
      </c>
      <c r="AR1" s="7"/>
      <c r="AS1" s="6" t="s">
        <v>23</v>
      </c>
      <c r="AT1" s="7"/>
      <c r="AU1" s="6" t="s">
        <v>24</v>
      </c>
      <c r="AV1" s="7"/>
      <c r="AW1" s="6" t="s">
        <v>25</v>
      </c>
      <c r="AX1" s="7"/>
      <c r="AY1" s="6" t="s">
        <v>26</v>
      </c>
      <c r="AZ1" s="7"/>
      <c r="BA1" s="6" t="s">
        <v>27</v>
      </c>
      <c r="BB1" s="7"/>
      <c r="BC1" s="6" t="s">
        <v>28</v>
      </c>
      <c r="BD1" s="7"/>
      <c r="BE1" s="6" t="s">
        <v>29</v>
      </c>
      <c r="BF1" s="7"/>
      <c r="BG1" s="6" t="s">
        <v>30</v>
      </c>
      <c r="BH1" s="7"/>
      <c r="BI1" s="6" t="s">
        <v>31</v>
      </c>
      <c r="BJ1" s="7"/>
      <c r="BK1" s="6" t="s">
        <v>32</v>
      </c>
      <c r="BL1" s="7"/>
      <c r="BM1" s="6" t="s">
        <v>33</v>
      </c>
      <c r="BN1" s="7"/>
      <c r="BO1" s="6" t="s">
        <v>34</v>
      </c>
      <c r="BP1" s="7"/>
      <c r="BQ1" s="6" t="s">
        <v>35</v>
      </c>
      <c r="BR1" s="7"/>
      <c r="BS1" s="6" t="s">
        <v>36</v>
      </c>
      <c r="BT1" s="7"/>
      <c r="BU1" s="6" t="s">
        <v>37</v>
      </c>
      <c r="BV1" s="7"/>
      <c r="BW1" s="6" t="s">
        <v>38</v>
      </c>
      <c r="BX1" s="7"/>
      <c r="BY1" s="6" t="s">
        <v>39</v>
      </c>
      <c r="BZ1" s="7"/>
      <c r="CA1" s="5" t="s">
        <v>40</v>
      </c>
      <c r="CB1" s="6" t="s">
        <v>41</v>
      </c>
      <c r="CC1" s="7"/>
      <c r="CD1" s="6" t="s">
        <v>42</v>
      </c>
      <c r="CE1" s="7"/>
      <c r="CF1" s="8" t="s">
        <v>43</v>
      </c>
      <c r="CG1" s="7"/>
      <c r="CH1" s="8" t="s">
        <v>44</v>
      </c>
      <c r="CI1" s="7"/>
      <c r="CJ1" s="8" t="s">
        <v>45</v>
      </c>
      <c r="CK1" s="7"/>
      <c r="CL1" s="5" t="s">
        <v>46</v>
      </c>
    </row>
    <row r="2" spans="1:90" x14ac:dyDescent="0.3">
      <c r="A2" t="s">
        <v>47</v>
      </c>
      <c r="B2" t="s">
        <v>48</v>
      </c>
      <c r="C2">
        <v>1</v>
      </c>
      <c r="D2" s="9">
        <f>RANK(E2,$E$2:$E$135)</f>
        <v>2</v>
      </c>
      <c r="E2" s="9">
        <f t="shared" ref="E2:E66" si="0">SUM(H2,J2,L2,N2,,P2,R2,T2,V2,X2,Z2,AB2,AD2,AF2,AH2,AJ2,AL2,AN2,AP2,AR2,AT2,AV2,AX2,AZ2,BB2,BD2,BF2,BH2,BJ2,BL2,BN2,BP2,BR2,BT2,BV2,BX2,BZ2,CC2,CE2,CG2,CI2,CK2)</f>
        <v>24.579787209976175</v>
      </c>
      <c r="F2" s="1">
        <v>323995528</v>
      </c>
      <c r="G2">
        <v>145215000</v>
      </c>
      <c r="H2" s="3">
        <f>G2/VALUE(H$137)</f>
        <v>0.19361999999999999</v>
      </c>
      <c r="I2">
        <v>120025000</v>
      </c>
      <c r="J2" s="3">
        <f>I2/VALUE(J$137)</f>
        <v>0.19390145395799677</v>
      </c>
      <c r="K2">
        <v>4220000</v>
      </c>
      <c r="L2" s="3">
        <f>K2/VALUE(L$137)</f>
        <v>0.18427947598253275</v>
      </c>
      <c r="M2">
        <v>2363675</v>
      </c>
      <c r="N2" s="3">
        <f>M2/VALUE(N$137)</f>
        <v>0.36674553917765712</v>
      </c>
      <c r="O2">
        <v>1373650</v>
      </c>
      <c r="P2" s="3">
        <f>O2/VALUE(P$137)</f>
        <v>0.60780973451327436</v>
      </c>
      <c r="Q2">
        <v>990025</v>
      </c>
      <c r="R2" s="3">
        <f>Q2/VALUE(R$137)</f>
        <v>0.18000454545454544</v>
      </c>
      <c r="S2">
        <v>13762</v>
      </c>
      <c r="T2" s="3">
        <f>S2/VALUE(T$137)</f>
        <v>1</v>
      </c>
      <c r="U2">
        <v>2296</v>
      </c>
      <c r="V2" s="3">
        <f>U2/VALUE(V$137)</f>
        <v>1</v>
      </c>
      <c r="W2">
        <v>2785</v>
      </c>
      <c r="X2" s="3">
        <f>W2/VALUE(X$137)</f>
        <v>1</v>
      </c>
      <c r="Y2">
        <v>5739</v>
      </c>
      <c r="Z2" s="3">
        <f>Y2/VALUE($Z$137)</f>
        <v>1</v>
      </c>
      <c r="AA2">
        <v>2831</v>
      </c>
      <c r="AB2" s="3">
        <f>AA2/VALUE($AB$137)</f>
        <v>1</v>
      </c>
      <c r="AC2">
        <v>6065</v>
      </c>
      <c r="AD2" s="3">
        <f>AC2/VALUE($AD$137)</f>
        <v>1</v>
      </c>
      <c r="AE2">
        <v>947</v>
      </c>
      <c r="AF2" s="3">
        <f>AE2/VALUE($AF$137)</f>
        <v>1</v>
      </c>
      <c r="AG2">
        <v>5884</v>
      </c>
      <c r="AH2" s="3">
        <f>AG2/VALUE($AH$137)</f>
        <v>0.29105658884052238</v>
      </c>
      <c r="AI2">
        <v>41062</v>
      </c>
      <c r="AJ2" s="3">
        <f>AI2/VALUE(AJ$137)</f>
        <v>1</v>
      </c>
      <c r="AK2">
        <v>1934</v>
      </c>
      <c r="AL2" s="3">
        <f>AK2/VALUE(AL$137)</f>
        <v>0.32384460817146682</v>
      </c>
      <c r="AM2">
        <v>1299</v>
      </c>
      <c r="AN2" s="3">
        <f>AM2/VALUE(AN$137)</f>
        <v>0.17520906393309954</v>
      </c>
      <c r="AO2">
        <v>1331</v>
      </c>
      <c r="AP2" s="3">
        <f>AO2/VALUE(AP$137)</f>
        <v>0.35090957026100711</v>
      </c>
      <c r="AQ2">
        <v>415</v>
      </c>
      <c r="AR2" s="3">
        <f>AQ2/VALUE(AR$137)</f>
        <v>0.42916235780765255</v>
      </c>
      <c r="AS2">
        <v>19</v>
      </c>
      <c r="AT2" s="3">
        <f>AS2/VALUE(AT$137)</f>
        <v>1</v>
      </c>
      <c r="AU2">
        <v>8</v>
      </c>
      <c r="AV2" s="3">
        <f>AU2/VALUE(AV$137)</f>
        <v>0.15686274509803921</v>
      </c>
      <c r="AW2">
        <v>63</v>
      </c>
      <c r="AX2" s="3">
        <f>AW2/VALUE(AX$137)</f>
        <v>1</v>
      </c>
      <c r="AY2">
        <v>0</v>
      </c>
      <c r="AZ2" s="3">
        <f>AY2/VALUE(AZ$137)</f>
        <v>0</v>
      </c>
      <c r="BA2">
        <v>70</v>
      </c>
      <c r="BB2" s="3">
        <f>BA2/VALUE(BB$137)</f>
        <v>0.92105263157894735</v>
      </c>
      <c r="BC2">
        <v>13</v>
      </c>
      <c r="BD2" s="3">
        <f>BC2/VALUE(BD$137)</f>
        <v>2.9680365296803651E-2</v>
      </c>
      <c r="BE2">
        <v>11</v>
      </c>
      <c r="BF2" s="3">
        <f>BE2/VALUE(BF$137)</f>
        <v>0.2391304347826087</v>
      </c>
      <c r="BG2">
        <v>8653000</v>
      </c>
      <c r="BH2" s="3">
        <f>BG2/VALUE(BH$137)</f>
        <v>0.85588526211671612</v>
      </c>
      <c r="BI2">
        <v>19000000</v>
      </c>
      <c r="BJ2" s="3">
        <f>BI2/VALUE(BJ$137)</f>
        <v>1</v>
      </c>
      <c r="BK2">
        <v>36520000000</v>
      </c>
      <c r="BL2" s="3">
        <f>BK2/VALUE(BL$137)</f>
        <v>0.12173333333333333</v>
      </c>
      <c r="BM2">
        <v>158600000</v>
      </c>
      <c r="BN2" s="3">
        <f>BM2/VALUE(BN$137)</f>
        <v>0.19679861024941059</v>
      </c>
      <c r="BO2">
        <v>393</v>
      </c>
      <c r="BP2" s="3">
        <f>BO2/VALUE(BP$137)</f>
        <v>6.1281771401840011E-2</v>
      </c>
      <c r="BQ2">
        <v>24</v>
      </c>
      <c r="BR2" s="3">
        <f>BQ2/VALUE(BR$137)</f>
        <v>1</v>
      </c>
      <c r="BS2">
        <v>6586610</v>
      </c>
      <c r="BT2" s="3">
        <f>BS2/VALUE(BT$137)</f>
        <v>1</v>
      </c>
      <c r="BU2">
        <v>224792</v>
      </c>
      <c r="BV2" s="3">
        <f>BU2/VALUE(BV$137)</f>
        <v>1</v>
      </c>
      <c r="BW2">
        <v>13513</v>
      </c>
      <c r="BX2" s="3">
        <f>BW2/VALUE(BX$137)</f>
        <v>1</v>
      </c>
      <c r="BY2">
        <v>587800</v>
      </c>
      <c r="BZ2" s="3">
        <f>BY2/VALUE(BZ$137)</f>
        <v>1</v>
      </c>
      <c r="CA2" s="1">
        <v>17910000</v>
      </c>
      <c r="CB2">
        <v>117600</v>
      </c>
      <c r="CC2" s="3">
        <f>CB2/VALUE(CC$137)</f>
        <v>3.8033635187580857E-2</v>
      </c>
      <c r="CD2">
        <v>18560000</v>
      </c>
      <c r="CE2" s="3">
        <f>CD2/VALUE(CE$137)</f>
        <v>0.87259050305594732</v>
      </c>
      <c r="CF2" s="2">
        <v>9826675</v>
      </c>
      <c r="CG2" s="3">
        <f>1-(CF2/VALUE(CG$137))</f>
        <v>0.42528155818592339</v>
      </c>
      <c r="CH2" s="2">
        <v>19924</v>
      </c>
      <c r="CI2" s="3">
        <f>1-(CH2/VALUE(CI$137))</f>
        <v>0.90140538400633408</v>
      </c>
      <c r="CJ2" s="2">
        <v>12048</v>
      </c>
      <c r="CK2" s="3">
        <f>1-(CJ2/VALUE(CK$137))</f>
        <v>0.46350803758293624</v>
      </c>
      <c r="CL2" s="1">
        <v>41009</v>
      </c>
    </row>
    <row r="3" spans="1:90" x14ac:dyDescent="0.3">
      <c r="A3" t="s">
        <v>49</v>
      </c>
      <c r="B3" t="s">
        <v>50</v>
      </c>
      <c r="C3">
        <v>2</v>
      </c>
      <c r="D3" s="9">
        <f>RANK(E3,$E$2:$E$135)</f>
        <v>4</v>
      </c>
      <c r="E3" s="9">
        <f t="shared" si="0"/>
        <v>15.666208346864787</v>
      </c>
      <c r="F3" s="1">
        <v>142355415</v>
      </c>
      <c r="G3">
        <v>70000000</v>
      </c>
      <c r="H3" s="3">
        <f>G3/VALUE(H$137)</f>
        <v>9.3333333333333338E-2</v>
      </c>
      <c r="I3">
        <v>47000000</v>
      </c>
      <c r="J3" s="3">
        <f>I3/VALUE(J$137)</f>
        <v>7.5928917609046853E-2</v>
      </c>
      <c r="K3">
        <v>1355000</v>
      </c>
      <c r="L3" s="3">
        <f>K3/VALUE(L$137)</f>
        <v>5.9170305676855897E-2</v>
      </c>
      <c r="M3">
        <v>3371027</v>
      </c>
      <c r="N3" s="3">
        <f>M3/VALUE(N$137)</f>
        <v>0.52304530643910008</v>
      </c>
      <c r="O3">
        <v>798527</v>
      </c>
      <c r="P3" s="3">
        <f>O3/VALUE(P$137)</f>
        <v>0.35333053097345135</v>
      </c>
      <c r="Q3">
        <v>2572500</v>
      </c>
      <c r="R3" s="3">
        <f>Q3/VALUE(R$137)</f>
        <v>0.46772727272727271</v>
      </c>
      <c r="S3">
        <v>3794</v>
      </c>
      <c r="T3" s="3">
        <f>S3/VALUE(T$137)</f>
        <v>0.27568667344862663</v>
      </c>
      <c r="U3">
        <v>806</v>
      </c>
      <c r="V3" s="3">
        <f>U3/VALUE(V$137)</f>
        <v>0.35104529616724739</v>
      </c>
      <c r="W3">
        <v>1438</v>
      </c>
      <c r="X3" s="3">
        <f>W3/VALUE($X$137)</f>
        <v>0.51633752244165165</v>
      </c>
      <c r="Y3">
        <v>1124</v>
      </c>
      <c r="Z3" s="3">
        <f>Y3/VALUE($Z$137)</f>
        <v>0.19585293605157694</v>
      </c>
      <c r="AA3">
        <v>387</v>
      </c>
      <c r="AB3" s="3">
        <f>AA3/VALUE($AB$137)</f>
        <v>0.136700812433769</v>
      </c>
      <c r="AC3">
        <v>1389</v>
      </c>
      <c r="AD3" s="3">
        <f>AC3/VALUE($AD$137)</f>
        <v>0.22901896125309151</v>
      </c>
      <c r="AE3">
        <v>490</v>
      </c>
      <c r="AF3" s="3">
        <f>AE3/VALUE($AF$137)</f>
        <v>0.51742344244984162</v>
      </c>
      <c r="AG3">
        <v>20216</v>
      </c>
      <c r="AH3" s="3">
        <f>AG3/VALUE($AH$137)</f>
        <v>1</v>
      </c>
      <c r="AI3">
        <v>31298</v>
      </c>
      <c r="AJ3" s="3">
        <f>AI3/VALUE(AJ$137)</f>
        <v>0.762213238517364</v>
      </c>
      <c r="AK3">
        <v>5972</v>
      </c>
      <c r="AL3" s="3">
        <f>AK3/VALUE(AL$137)</f>
        <v>1</v>
      </c>
      <c r="AM3">
        <v>4625</v>
      </c>
      <c r="AN3" s="3">
        <f>AM3/VALUE(AN$137)</f>
        <v>0.62381980037766382</v>
      </c>
      <c r="AO3">
        <v>3793</v>
      </c>
      <c r="AP3" s="3">
        <f>AO3/VALUE(AP$137)</f>
        <v>1</v>
      </c>
      <c r="AQ3">
        <v>352</v>
      </c>
      <c r="AR3" s="3">
        <f>AQ3/VALUE(AR$137)</f>
        <v>0.36401240951396069</v>
      </c>
      <c r="AS3">
        <v>1</v>
      </c>
      <c r="AT3" s="3">
        <f>AS3/VALUE(AT$137)</f>
        <v>5.2631578947368418E-2</v>
      </c>
      <c r="AU3">
        <v>6</v>
      </c>
      <c r="AV3" s="3">
        <f>AU3/VALUE(AV$137)</f>
        <v>0.11764705882352941</v>
      </c>
      <c r="AW3">
        <v>15</v>
      </c>
      <c r="AX3" s="3">
        <f>AW3/VALUE(AX$137)</f>
        <v>0.23809523809523808</v>
      </c>
      <c r="AY3">
        <v>81</v>
      </c>
      <c r="AZ3" s="3">
        <f>AY3/VALUE(AZ$137)</f>
        <v>1</v>
      </c>
      <c r="BA3">
        <v>63</v>
      </c>
      <c r="BB3" s="3">
        <f>BA3/VALUE(BB$137)</f>
        <v>0.82894736842105265</v>
      </c>
      <c r="BC3">
        <v>28</v>
      </c>
      <c r="BD3" s="3">
        <f>BC3/VALUE(BD$137)</f>
        <v>6.3926940639269403E-2</v>
      </c>
      <c r="BE3">
        <v>46</v>
      </c>
      <c r="BF3" s="3">
        <f>BE3/VALUE(BF$137)</f>
        <v>1</v>
      </c>
      <c r="BG3">
        <v>10110000</v>
      </c>
      <c r="BH3" s="3">
        <f>BG3/VALUE(BH$137)</f>
        <v>1</v>
      </c>
      <c r="BI3">
        <v>3320000</v>
      </c>
      <c r="BJ3" s="3">
        <f>BI3/VALUE(BJ$137)</f>
        <v>0.17473684210526316</v>
      </c>
      <c r="BK3">
        <v>80000000000</v>
      </c>
      <c r="BL3" s="3">
        <f>BK3/VALUE(BL$137)</f>
        <v>0.26666666666666666</v>
      </c>
      <c r="BM3">
        <v>77410000</v>
      </c>
      <c r="BN3" s="3">
        <f>BM3/VALUE(BN$137)</f>
        <v>9.6054101005087475E-2</v>
      </c>
      <c r="BO3">
        <v>1143</v>
      </c>
      <c r="BP3" s="3">
        <f>BO3/VALUE(BP$137)</f>
        <v>0.17823171682519881</v>
      </c>
      <c r="BQ3">
        <v>7</v>
      </c>
      <c r="BR3" s="3">
        <f>BQ3/VALUE(BR$137)</f>
        <v>0.29166666666666669</v>
      </c>
      <c r="BS3">
        <v>982000</v>
      </c>
      <c r="BT3" s="3">
        <f>BS3/VALUE(BT$137)</f>
        <v>0.14909035148581745</v>
      </c>
      <c r="BU3">
        <v>87157</v>
      </c>
      <c r="BV3" s="3">
        <f>BU3/VALUE(BV$137)</f>
        <v>0.38772287270009609</v>
      </c>
      <c r="BW3">
        <v>1218</v>
      </c>
      <c r="BX3" s="3">
        <f>BW3/VALUE(BX$137)</f>
        <v>9.0135425146155551E-2</v>
      </c>
      <c r="BY3">
        <v>44600</v>
      </c>
      <c r="BZ3" s="3">
        <f>BY3/VALUE(BZ$137)</f>
        <v>7.5876148349778835E-2</v>
      </c>
      <c r="CA3" s="1">
        <v>514800</v>
      </c>
      <c r="CB3">
        <v>365500</v>
      </c>
      <c r="CC3" s="3">
        <f>CB3/VALUE(CC$137)</f>
        <v>0.11820827943078914</v>
      </c>
      <c r="CD3">
        <v>3745000</v>
      </c>
      <c r="CE3" s="3">
        <f>CD3/VALUE(CE$137)</f>
        <v>0.17606958157028679</v>
      </c>
      <c r="CF3" s="2">
        <v>17098242</v>
      </c>
      <c r="CG3" s="3">
        <f>1-(CF3/VALUE(CG$137))</f>
        <v>0</v>
      </c>
      <c r="CH3" s="2">
        <v>37653</v>
      </c>
      <c r="CI3" s="3">
        <f>1-(CH3/VALUE(CI$137))</f>
        <v>0.81367280285035626</v>
      </c>
      <c r="CJ3" s="2">
        <v>22408</v>
      </c>
      <c r="CK3" s="3">
        <f>1-(CJ3/VALUE(CK$137))</f>
        <v>2.1819477223137262E-3</v>
      </c>
      <c r="CL3" s="1">
        <v>102000</v>
      </c>
    </row>
    <row r="4" spans="1:90" x14ac:dyDescent="0.3">
      <c r="A4" t="s">
        <v>51</v>
      </c>
      <c r="B4" t="s">
        <v>52</v>
      </c>
      <c r="C4">
        <v>3</v>
      </c>
      <c r="D4" s="9">
        <f>RANK(E4,$E$2:$E$135)</f>
        <v>3</v>
      </c>
      <c r="E4" s="9">
        <f t="shared" si="0"/>
        <v>21.089126469488964</v>
      </c>
      <c r="F4" s="1">
        <v>1373541278</v>
      </c>
      <c r="G4">
        <v>750000000</v>
      </c>
      <c r="H4" s="3">
        <f>G4/VALUE(H$137)</f>
        <v>1</v>
      </c>
      <c r="I4">
        <v>619000000</v>
      </c>
      <c r="J4" s="3">
        <f>I4/VALUE(J$137)</f>
        <v>1</v>
      </c>
      <c r="K4">
        <v>19550000</v>
      </c>
      <c r="L4" s="3">
        <f>K4/VALUE(L$137)</f>
        <v>0.85371179039301315</v>
      </c>
      <c r="M4">
        <v>3712500</v>
      </c>
      <c r="N4" s="3">
        <f>M4/VALUE(N$137)</f>
        <v>0.57602792862684249</v>
      </c>
      <c r="O4">
        <v>2260000</v>
      </c>
      <c r="P4" s="3">
        <f>O4/VALUE(P$137)</f>
        <v>1</v>
      </c>
      <c r="Q4">
        <v>1452500</v>
      </c>
      <c r="R4" s="3">
        <f>Q4/VALUE(R$137)</f>
        <v>0.2640909090909091</v>
      </c>
      <c r="S4">
        <v>2955</v>
      </c>
      <c r="T4" s="3">
        <f>S4/VALUE(T$137)</f>
        <v>0.21472169742769948</v>
      </c>
      <c r="U4">
        <v>1271</v>
      </c>
      <c r="V4" s="3">
        <f>U4/VALUE(V$137)</f>
        <v>0.5535714285714286</v>
      </c>
      <c r="W4">
        <v>1385</v>
      </c>
      <c r="X4" s="3">
        <f>W4/VALUE($X$137)</f>
        <v>0.49730700179533216</v>
      </c>
      <c r="Y4">
        <v>782</v>
      </c>
      <c r="Z4" s="3">
        <f>Y4/VALUE($Z$137)</f>
        <v>0.13626067259104374</v>
      </c>
      <c r="AA4">
        <v>352</v>
      </c>
      <c r="AB4" s="3">
        <f>AA4/VALUE($AB$137)</f>
        <v>0.12433768986223949</v>
      </c>
      <c r="AC4">
        <v>912</v>
      </c>
      <c r="AD4" s="3">
        <f>AC4/VALUE($AD$137)</f>
        <v>0.15037098103874691</v>
      </c>
      <c r="AE4">
        <v>206</v>
      </c>
      <c r="AF4" s="3">
        <f>AE4/VALUE($AF$137)</f>
        <v>0.21752903907074975</v>
      </c>
      <c r="AG4">
        <v>6457</v>
      </c>
      <c r="AH4" s="3">
        <f>AG4/VALUE($AH$137)</f>
        <v>0.31940047487138901</v>
      </c>
      <c r="AI4">
        <v>4788</v>
      </c>
      <c r="AJ4" s="3">
        <f>AI4/VALUE(AJ$137)</f>
        <v>0.11660415956358677</v>
      </c>
      <c r="AK4">
        <v>1710</v>
      </c>
      <c r="AL4" s="3">
        <f>AK4/VALUE(AL$137)</f>
        <v>0.28633623576691225</v>
      </c>
      <c r="AM4">
        <v>6246</v>
      </c>
      <c r="AN4" s="3">
        <f>AM4/VALUE(AN$137)</f>
        <v>0.84246021041273267</v>
      </c>
      <c r="AO4">
        <v>1770</v>
      </c>
      <c r="AP4" s="3">
        <f>AO4/VALUE(AP$137)</f>
        <v>0.46664909042973901</v>
      </c>
      <c r="AQ4">
        <v>714</v>
      </c>
      <c r="AR4" s="3">
        <f>AQ4/VALUE(AR$137)</f>
        <v>0.73836608066184073</v>
      </c>
      <c r="AS4">
        <v>1</v>
      </c>
      <c r="AT4" s="3">
        <f>AS4/VALUE(AT$137)</f>
        <v>5.2631578947368418E-2</v>
      </c>
      <c r="AU4">
        <v>51</v>
      </c>
      <c r="AV4" s="3">
        <f>AU4/VALUE(AV$137)</f>
        <v>1</v>
      </c>
      <c r="AW4">
        <v>35</v>
      </c>
      <c r="AX4" s="3">
        <f>AW4/VALUE(AX$137)</f>
        <v>0.55555555555555558</v>
      </c>
      <c r="AY4">
        <v>35</v>
      </c>
      <c r="AZ4" s="3">
        <f>AY4/VALUE(AZ$137)</f>
        <v>0.43209876543209874</v>
      </c>
      <c r="BA4">
        <v>68</v>
      </c>
      <c r="BB4" s="3">
        <f>BA4/VALUE(BB$137)</f>
        <v>0.89473684210526316</v>
      </c>
      <c r="BC4">
        <v>220</v>
      </c>
      <c r="BD4" s="3">
        <f>BC4/VALUE(BD$137)</f>
        <v>0.50228310502283102</v>
      </c>
      <c r="BE4">
        <v>31</v>
      </c>
      <c r="BF4" s="3">
        <f>BE4/VALUE(BF$137)</f>
        <v>0.67391304347826086</v>
      </c>
      <c r="BG4">
        <v>4189000</v>
      </c>
      <c r="BH4" s="3">
        <f>BG4/VALUE(BH$137)</f>
        <v>0.41434223541048465</v>
      </c>
      <c r="BI4">
        <v>10120000</v>
      </c>
      <c r="BJ4" s="3">
        <f>BI4/VALUE(BJ$137)</f>
        <v>0.53263157894736846</v>
      </c>
      <c r="BK4">
        <v>25000000000</v>
      </c>
      <c r="BL4" s="3">
        <f>BK4/VALUE(BL$137)</f>
        <v>8.3333333333333329E-2</v>
      </c>
      <c r="BM4">
        <v>805900000</v>
      </c>
      <c r="BN4" s="3">
        <f>BM4/VALUE(BN$137)</f>
        <v>1</v>
      </c>
      <c r="BO4">
        <v>2030</v>
      </c>
      <c r="BP4" s="3">
        <f>BO4/VALUE(BP$137)</f>
        <v>0.31654451894589114</v>
      </c>
      <c r="BQ4">
        <v>15</v>
      </c>
      <c r="BR4" s="3">
        <f>BQ4/VALUE(BR$137)</f>
        <v>0.625</v>
      </c>
      <c r="BS4">
        <v>3860800</v>
      </c>
      <c r="BT4" s="3">
        <f>BS4/VALUE(BT$137)</f>
        <v>0.58615888901878199</v>
      </c>
      <c r="BU4">
        <v>86000</v>
      </c>
      <c r="BV4" s="3">
        <f>BU4/VALUE(BV$137)</f>
        <v>0.38257589238051176</v>
      </c>
      <c r="BW4">
        <v>507</v>
      </c>
      <c r="BX4" s="3">
        <f>BW4/VALUE(BX$137)</f>
        <v>3.7519425738178049E-2</v>
      </c>
      <c r="BY4">
        <v>161700</v>
      </c>
      <c r="BZ4" s="3">
        <f>BY4/VALUE(BZ$137)</f>
        <v>0.27509356924123851</v>
      </c>
      <c r="CA4" s="1">
        <v>983500</v>
      </c>
      <c r="CB4">
        <v>3092000</v>
      </c>
      <c r="CC4" s="3">
        <f>CB4/VALUE(CC$137)</f>
        <v>1</v>
      </c>
      <c r="CD4">
        <v>21270000</v>
      </c>
      <c r="CE4" s="3">
        <f>CD4/VALUE(CE$137)</f>
        <v>1</v>
      </c>
      <c r="CF4" s="2">
        <v>9596961</v>
      </c>
      <c r="CG4" s="3">
        <f>1-(CF4/VALUE(CG$137))</f>
        <v>0.43871650664436734</v>
      </c>
      <c r="CH4" s="2">
        <v>14500</v>
      </c>
      <c r="CI4" s="3">
        <f>1-(CH4/VALUE(CI$137))</f>
        <v>0.92824623911322246</v>
      </c>
      <c r="CJ4" s="2">
        <v>22457</v>
      </c>
      <c r="CK4" s="3">
        <f>1-(CJ4/VALUE(CK$137))</f>
        <v>0</v>
      </c>
      <c r="CL4" s="1">
        <v>110000</v>
      </c>
    </row>
    <row r="5" spans="1:90" s="11" customFormat="1" ht="15" thickBot="1" x14ac:dyDescent="0.35">
      <c r="A5" s="11" t="s">
        <v>53</v>
      </c>
      <c r="B5" s="11" t="s">
        <v>54</v>
      </c>
      <c r="C5" s="11">
        <v>4</v>
      </c>
      <c r="D5" s="16">
        <f>RANK(E5,$E$2:$E$135)</f>
        <v>134</v>
      </c>
      <c r="E5" s="16">
        <v>0</v>
      </c>
      <c r="F5" s="14">
        <v>1266883598</v>
      </c>
      <c r="G5" s="11">
        <v>616000000</v>
      </c>
      <c r="H5" s="15">
        <f>G5/VALUE(H$137)</f>
        <v>0.82133333333333336</v>
      </c>
      <c r="I5" s="11">
        <v>489600000</v>
      </c>
      <c r="J5" s="15">
        <f>I5/VALUE(J$137)</f>
        <v>0.79095315024232637</v>
      </c>
      <c r="K5" s="11">
        <v>22900000</v>
      </c>
      <c r="L5" s="15">
        <v>1</v>
      </c>
      <c r="M5" s="11">
        <v>4207250</v>
      </c>
      <c r="N5" s="15">
        <f>M5/VALUE(N$137)</f>
        <v>0.65279286268425141</v>
      </c>
      <c r="O5" s="11">
        <v>1362500</v>
      </c>
      <c r="P5" s="15">
        <f>O5/VALUE(P$137)</f>
        <v>0.60287610619469023</v>
      </c>
      <c r="Q5" s="11">
        <v>2844750</v>
      </c>
      <c r="R5" s="15">
        <v>0.51722727272727298</v>
      </c>
      <c r="S5" s="11">
        <v>2102</v>
      </c>
      <c r="T5" s="15">
        <f>S5/VALUE(T$137)</f>
        <v>0.15273942740880686</v>
      </c>
      <c r="U5" s="11">
        <v>676</v>
      </c>
      <c r="V5" s="15">
        <v>0.29442508710801396</v>
      </c>
      <c r="W5" s="11">
        <v>809</v>
      </c>
      <c r="X5" s="15">
        <v>0.29048473967684002</v>
      </c>
      <c r="Y5" s="11">
        <v>857</v>
      </c>
      <c r="Z5" s="15">
        <v>0.14932915142010803</v>
      </c>
      <c r="AA5" s="11">
        <v>323</v>
      </c>
      <c r="AB5" s="15">
        <v>0.11409395973154363</v>
      </c>
      <c r="AC5" s="11">
        <v>666</v>
      </c>
      <c r="AD5" s="15">
        <v>0.10981038746908492</v>
      </c>
      <c r="AE5" s="11">
        <v>16</v>
      </c>
      <c r="AF5" s="15">
        <v>1.6895459345300949E-2</v>
      </c>
      <c r="AG5" s="11">
        <v>4426</v>
      </c>
      <c r="AH5" s="11">
        <f>AG5/VALUE($AH$137)</f>
        <v>0.21893549663632766</v>
      </c>
      <c r="AI5" s="11">
        <v>6704</v>
      </c>
      <c r="AJ5" s="15">
        <v>0.16326530612244897</v>
      </c>
      <c r="AK5" s="11">
        <v>290</v>
      </c>
      <c r="AL5" s="15">
        <v>4.855994641661085E-2</v>
      </c>
      <c r="AM5" s="11">
        <v>7414</v>
      </c>
      <c r="AN5" s="15">
        <v>1</v>
      </c>
      <c r="AO5" s="11">
        <v>292</v>
      </c>
      <c r="AP5" s="15">
        <v>7.6983917743211172E-2</v>
      </c>
      <c r="AQ5" s="11">
        <v>295</v>
      </c>
      <c r="AR5" s="11">
        <f>AQ5/VALUE(AR$137)</f>
        <v>0.30506721820062049</v>
      </c>
      <c r="AS5" s="11">
        <v>3</v>
      </c>
      <c r="AT5" s="15">
        <v>0.15789473684210525</v>
      </c>
      <c r="AU5" s="11">
        <v>14</v>
      </c>
      <c r="AV5" s="15">
        <v>0.27450980392156865</v>
      </c>
      <c r="AW5" s="11">
        <v>11</v>
      </c>
      <c r="AX5" s="15">
        <v>0.17460317460317459</v>
      </c>
      <c r="AY5" s="11">
        <v>23</v>
      </c>
      <c r="AZ5" s="15">
        <v>0.2839506172839506</v>
      </c>
      <c r="BA5" s="11">
        <v>15</v>
      </c>
      <c r="BB5" s="15">
        <v>0.19736842105263158</v>
      </c>
      <c r="BC5" s="11">
        <v>139</v>
      </c>
      <c r="BD5" s="15">
        <v>0.31735159817351599</v>
      </c>
      <c r="BE5" s="11">
        <v>6</v>
      </c>
      <c r="BF5" s="15">
        <v>0.13043478260869565</v>
      </c>
      <c r="BG5" s="11">
        <v>767600</v>
      </c>
      <c r="BH5" s="15">
        <v>7.5924826904055387E-2</v>
      </c>
      <c r="BI5" s="11">
        <v>3510000</v>
      </c>
      <c r="BJ5" s="15">
        <v>0.18473684210526317</v>
      </c>
      <c r="BK5" s="11">
        <v>5675000000</v>
      </c>
      <c r="BL5" s="15">
        <v>1.8916666666666665E-2</v>
      </c>
      <c r="BM5" s="11">
        <v>513700000</v>
      </c>
      <c r="BN5" s="15">
        <v>0.637423998014642</v>
      </c>
      <c r="BO5" s="11">
        <v>340</v>
      </c>
      <c r="BP5" s="15">
        <v>5.3017308591922656E-2</v>
      </c>
      <c r="BQ5" s="11">
        <v>7</v>
      </c>
      <c r="BR5" s="15">
        <v>0.29166666666666669</v>
      </c>
      <c r="BS5" s="11">
        <v>3320410</v>
      </c>
      <c r="BT5" s="15">
        <v>0.50411516698271186</v>
      </c>
      <c r="BU5" s="11">
        <v>63974</v>
      </c>
      <c r="BV5" s="15">
        <v>0.28459197836221928</v>
      </c>
      <c r="BW5" s="11">
        <v>346</v>
      </c>
      <c r="BX5" s="15">
        <v>2.560497298897358E-2</v>
      </c>
      <c r="BY5" s="11">
        <v>51000</v>
      </c>
      <c r="BZ5" s="15">
        <v>8.6764205512078932E-2</v>
      </c>
      <c r="CA5" s="14">
        <v>507000</v>
      </c>
      <c r="CB5" s="11">
        <v>359100</v>
      </c>
      <c r="CC5" s="15">
        <v>0.11613842173350582</v>
      </c>
      <c r="CD5" s="11">
        <v>8721000</v>
      </c>
      <c r="CE5" s="15">
        <v>0.41001410437235541</v>
      </c>
      <c r="CF5" s="12">
        <v>3287263</v>
      </c>
      <c r="CG5" s="15">
        <f>1-(CF5/VALUE(CG$137))</f>
        <v>0.80774263225423992</v>
      </c>
      <c r="CH5" s="12">
        <v>7000</v>
      </c>
      <c r="CI5" s="15">
        <f>1-(CH5/VALUE(CI$137))</f>
        <v>0.96536025336500397</v>
      </c>
      <c r="CJ5" s="12">
        <v>13888</v>
      </c>
      <c r="CK5" s="15">
        <f>1-(CJ5/VALUE(CK$137))</f>
        <v>0.38157367413278709</v>
      </c>
      <c r="CL5" s="14">
        <v>14500</v>
      </c>
    </row>
    <row r="6" spans="1:90" s="11" customFormat="1" ht="15.6" thickTop="1" thickBot="1" x14ac:dyDescent="0.35">
      <c r="D6" s="13">
        <v>1</v>
      </c>
      <c r="E6" s="13">
        <f>SUM(H6,J6,L6,N6,,P6,R6,T6,V6,X6,Z6,AB6,AD6,AF6,AH6,AJ6,AL6,AN6,AP6,AR6,AT6,AV6,AX6,AZ6,BB6,BD6,BF6,BH6,BJ6,BL6,BN6,BP6,BR6,BT6,BV6,BX6,BZ6,CC6,CE6,CG6,CI6,CK6)</f>
        <v>30.000013705477674</v>
      </c>
      <c r="F6" s="14">
        <v>1266883598</v>
      </c>
      <c r="G6" s="11">
        <v>616000000</v>
      </c>
      <c r="H6" s="15">
        <v>0.82133333333333336</v>
      </c>
      <c r="I6" s="11">
        <v>489600000</v>
      </c>
      <c r="J6" s="15">
        <v>0.79095315024232637</v>
      </c>
      <c r="K6" s="11">
        <v>22900000</v>
      </c>
      <c r="L6" s="15">
        <v>1</v>
      </c>
      <c r="M6" s="4">
        <f>_xlfn.CEILING.MATH(N6*VALUE(N$137))</f>
        <v>51121086</v>
      </c>
      <c r="N6" s="4">
        <v>7.93189846840448</v>
      </c>
      <c r="O6" s="4">
        <f>_xlfn.CEILING.MATH(P6*VALUE(P$137))</f>
        <v>15393603</v>
      </c>
      <c r="P6" s="4">
        <v>6.8113284406104526</v>
      </c>
      <c r="Q6" s="11">
        <v>2844750</v>
      </c>
      <c r="R6" s="15">
        <v>0.51722727272727298</v>
      </c>
      <c r="S6" s="4">
        <f>_xlfn.CEILING.MATH(T6*VALUE(T$137))</f>
        <v>7587</v>
      </c>
      <c r="T6" s="4">
        <v>0.55124051798618301</v>
      </c>
      <c r="U6" s="11">
        <v>676</v>
      </c>
      <c r="V6" s="15">
        <v>0.29442508710801396</v>
      </c>
      <c r="W6" s="11">
        <v>809</v>
      </c>
      <c r="X6" s="15">
        <v>0.29048473967684002</v>
      </c>
      <c r="Y6" s="11">
        <v>857</v>
      </c>
      <c r="Z6" s="15">
        <v>0.14932915142010803</v>
      </c>
      <c r="AA6" s="11">
        <v>323</v>
      </c>
      <c r="AB6" s="15">
        <v>0.11409395973154363</v>
      </c>
      <c r="AC6" s="11">
        <v>666</v>
      </c>
      <c r="AD6" s="15">
        <v>0.10981038746908492</v>
      </c>
      <c r="AE6" s="11">
        <v>16</v>
      </c>
      <c r="AF6" s="15">
        <v>1.6895459345300949E-2</v>
      </c>
      <c r="AG6" s="4">
        <f>_xlfn.CEILING.MATH(AH6*VALUE(AH$137))</f>
        <v>20979</v>
      </c>
      <c r="AH6" s="4">
        <v>1.0377010377099554</v>
      </c>
      <c r="AI6" s="11">
        <v>6704</v>
      </c>
      <c r="AJ6" s="15">
        <v>0.16326530612244897</v>
      </c>
      <c r="AK6" s="11">
        <v>290</v>
      </c>
      <c r="AL6" s="15">
        <v>4.855994641661085E-2</v>
      </c>
      <c r="AM6" s="11">
        <v>7414</v>
      </c>
      <c r="AN6" s="15">
        <v>1</v>
      </c>
      <c r="AO6" s="11">
        <v>292</v>
      </c>
      <c r="AP6" s="15">
        <v>7.6983917743211172E-2</v>
      </c>
      <c r="AQ6" s="4">
        <f>_xlfn.CEILING.MATH(AR6*VALUE(AR$137))</f>
        <v>1833</v>
      </c>
      <c r="AR6" s="4">
        <v>1.8947786762917813</v>
      </c>
      <c r="AS6" s="11">
        <v>3</v>
      </c>
      <c r="AT6" s="15">
        <v>0.15789473684210525</v>
      </c>
      <c r="AU6" s="11">
        <v>14</v>
      </c>
      <c r="AV6" s="15">
        <v>0.27450980392156865</v>
      </c>
      <c r="AW6" s="11">
        <v>11</v>
      </c>
      <c r="AX6" s="15">
        <v>0.17460317460317459</v>
      </c>
      <c r="AY6" s="11">
        <v>23</v>
      </c>
      <c r="AZ6" s="15">
        <v>0.2839506172839506</v>
      </c>
      <c r="BA6" s="11">
        <v>15</v>
      </c>
      <c r="BB6" s="15">
        <v>0.19736842105263158</v>
      </c>
      <c r="BC6" s="11">
        <v>139</v>
      </c>
      <c r="BD6" s="15">
        <v>0.31735159817351599</v>
      </c>
      <c r="BE6" s="11">
        <v>6</v>
      </c>
      <c r="BF6" s="15">
        <v>0.13043478260869565</v>
      </c>
      <c r="BG6" s="11">
        <v>767600</v>
      </c>
      <c r="BH6" s="15">
        <v>7.5924826904055387E-2</v>
      </c>
      <c r="BI6" s="11">
        <v>3510000</v>
      </c>
      <c r="BJ6" s="15">
        <v>0.18473684210526317</v>
      </c>
      <c r="BK6" s="11">
        <v>5675000000</v>
      </c>
      <c r="BL6" s="15">
        <v>1.8916666666666665E-2</v>
      </c>
      <c r="BM6" s="11">
        <v>513700000</v>
      </c>
      <c r="BN6" s="15">
        <v>0.637423998014642</v>
      </c>
      <c r="BO6" s="11">
        <v>340</v>
      </c>
      <c r="BP6" s="15">
        <v>5.3017308591922656E-2</v>
      </c>
      <c r="BQ6" s="11">
        <v>7</v>
      </c>
      <c r="BR6" s="15">
        <v>0.29166666666666669</v>
      </c>
      <c r="BS6" s="11">
        <v>3320410</v>
      </c>
      <c r="BT6" s="15">
        <v>0.50411516698271186</v>
      </c>
      <c r="BU6" s="11">
        <v>63974</v>
      </c>
      <c r="BV6" s="15">
        <v>0.28459197836221928</v>
      </c>
      <c r="BW6" s="11">
        <v>346</v>
      </c>
      <c r="BX6" s="15">
        <v>2.560497298897358E-2</v>
      </c>
      <c r="BY6" s="11">
        <v>51000</v>
      </c>
      <c r="BZ6" s="15">
        <v>8.6764205512078932E-2</v>
      </c>
      <c r="CA6" s="14">
        <v>507000</v>
      </c>
      <c r="CB6" s="11">
        <v>359100</v>
      </c>
      <c r="CC6" s="15">
        <v>0.11613842173350582</v>
      </c>
      <c r="CD6" s="11">
        <v>8721000</v>
      </c>
      <c r="CE6" s="15">
        <v>0.41001410437235541</v>
      </c>
      <c r="CF6" s="12">
        <v>3287263</v>
      </c>
      <c r="CG6" s="15">
        <v>0.80774263225423992</v>
      </c>
      <c r="CH6" s="12">
        <v>7000</v>
      </c>
      <c r="CI6" s="15">
        <v>0.96536025336500397</v>
      </c>
      <c r="CJ6" s="12">
        <v>13888</v>
      </c>
      <c r="CK6" s="15">
        <v>0.38157367413278709</v>
      </c>
      <c r="CL6" s="14">
        <v>14500</v>
      </c>
    </row>
    <row r="7" spans="1:90" ht="15" thickTop="1" x14ac:dyDescent="0.3">
      <c r="A7" t="s">
        <v>55</v>
      </c>
      <c r="B7" t="s">
        <v>56</v>
      </c>
      <c r="C7">
        <v>5</v>
      </c>
      <c r="D7" s="9">
        <f t="shared" ref="D7:D38" si="1">RANK(E7,$E$2:$E$135)</f>
        <v>13</v>
      </c>
      <c r="E7" s="9">
        <f>SUM(H7,J7,L7,N7,,P7,R7,T7,V7,X7,Z7,AB7,AD7,AF7,AH7,AJ7,AL7,AN7,AP7,AR7,AT7,AV7,AX7,AZ7,BB7,BD7,BF7,BH7,BJ7,BL7,BN7,BP7,BR7,BT7,BV7,BX7,BZ7,CC7,CE7,CG7,CI7,CK7)</f>
        <v>6.489366472259217</v>
      </c>
      <c r="F7" s="1">
        <v>66836154</v>
      </c>
      <c r="G7">
        <v>30000000</v>
      </c>
      <c r="H7" s="3">
        <f t="shared" ref="H7:H38" si="2">G7/VALUE(H$137)</f>
        <v>0.04</v>
      </c>
      <c r="I7">
        <v>23750000</v>
      </c>
      <c r="J7" s="3">
        <f t="shared" ref="J7:J38" si="3">I7/VALUE(J$137)</f>
        <v>3.8368336025848139E-2</v>
      </c>
      <c r="K7">
        <v>775000</v>
      </c>
      <c r="L7" s="3">
        <f t="shared" ref="L7:L38" si="4">K7/VALUE(L$137)</f>
        <v>3.384279475982533E-2</v>
      </c>
      <c r="M7">
        <v>387635</v>
      </c>
      <c r="N7" s="3">
        <f t="shared" ref="N7:N38" si="5">M7/VALUE(N$137)</f>
        <v>6.0145073700543054E-2</v>
      </c>
      <c r="O7">
        <v>204000</v>
      </c>
      <c r="P7" s="3">
        <f t="shared" ref="P7:P38" si="6">O7/VALUE(P$137)</f>
        <v>9.0265486725663716E-2</v>
      </c>
      <c r="Q7">
        <v>183635</v>
      </c>
      <c r="R7" s="3">
        <f t="shared" ref="R7:R38" si="7">Q7/VALUE(R$137)</f>
        <v>3.3388181818181817E-2</v>
      </c>
      <c r="S7">
        <v>1305</v>
      </c>
      <c r="T7" s="3">
        <f t="shared" ref="T7:T38" si="8">S7/VALUE(T$137)</f>
        <v>9.4826333381775901E-2</v>
      </c>
      <c r="U7">
        <v>296</v>
      </c>
      <c r="V7" s="3">
        <f t="shared" ref="V7:V38" si="9">U7/VALUE(V$137)</f>
        <v>0.1289198606271777</v>
      </c>
      <c r="W7">
        <v>284</v>
      </c>
      <c r="X7" s="3">
        <f t="shared" ref="X7:X38" si="10">W7/VALUE($X$137)</f>
        <v>0.10197486535008976</v>
      </c>
      <c r="Y7">
        <v>662</v>
      </c>
      <c r="Z7" s="3">
        <f t="shared" ref="Z7:Z38" si="11">Y7/VALUE($Z$137)</f>
        <v>0.11535110646454086</v>
      </c>
      <c r="AA7">
        <v>283</v>
      </c>
      <c r="AB7" s="3">
        <f t="shared" ref="AB7:AB38" si="12">AA7/VALUE($AB$137)</f>
        <v>9.9964676792652779E-2</v>
      </c>
      <c r="AC7">
        <v>610</v>
      </c>
      <c r="AD7" s="3">
        <f t="shared" ref="AD7:AD38" si="13">AC7/VALUE($AD$137)</f>
        <v>0.10057708161582853</v>
      </c>
      <c r="AE7">
        <v>49</v>
      </c>
      <c r="AF7" s="3">
        <f t="shared" ref="AF7:AF38" si="14">AE7/VALUE($AF$137)</f>
        <v>5.1742344244984161E-2</v>
      </c>
      <c r="AG7">
        <v>406</v>
      </c>
      <c r="AH7" s="3">
        <f t="shared" ref="AH7:AH38" si="15">AG7/VALUE($AH$137)</f>
        <v>2.0083102493074791E-2</v>
      </c>
      <c r="AI7">
        <v>6863</v>
      </c>
      <c r="AJ7" s="3">
        <f t="shared" ref="AJ7:AJ38" si="16">AI7/VALUE(AJ$137)</f>
        <v>0.16713749939116457</v>
      </c>
      <c r="AK7">
        <v>325</v>
      </c>
      <c r="AL7" s="3">
        <f t="shared" ref="AL7:AL38" si="17">AK7/VALUE(AL$137)</f>
        <v>5.4420629604822503E-2</v>
      </c>
      <c r="AM7">
        <v>233</v>
      </c>
      <c r="AN7" s="3">
        <f t="shared" ref="AN7:AN38" si="18">AM7/VALUE(AN$137)</f>
        <v>3.1427029943350421E-2</v>
      </c>
      <c r="AO7">
        <v>44</v>
      </c>
      <c r="AP7" s="3">
        <f t="shared" ref="AP7:AP38" si="19">AO7/VALUE(AP$137)</f>
        <v>1.1600316372264698E-2</v>
      </c>
      <c r="AQ7">
        <v>118</v>
      </c>
      <c r="AR7" s="3">
        <f t="shared" ref="AR7:AR38" si="20">AQ7/VALUE(AR$137)</f>
        <v>0.12202688728024819</v>
      </c>
      <c r="AS7">
        <v>4</v>
      </c>
      <c r="AT7" s="3">
        <f t="shared" ref="AT7:AT38" si="21">AS7/VALUE(AT$137)</f>
        <v>0.21052631578947367</v>
      </c>
      <c r="AU7">
        <v>11</v>
      </c>
      <c r="AV7" s="3">
        <f t="shared" ref="AV7:AV38" si="22">AU7/VALUE(AV$137)</f>
        <v>0.21568627450980393</v>
      </c>
      <c r="AW7">
        <v>4</v>
      </c>
      <c r="AX7" s="3">
        <f t="shared" ref="AX7:AX38" si="23">AW7/VALUE(AX$137)</f>
        <v>6.3492063492063489E-2</v>
      </c>
      <c r="AY7">
        <v>0</v>
      </c>
      <c r="AZ7" s="3">
        <f t="shared" ref="AZ7:AZ38" si="24">AY7/VALUE(AZ$137)</f>
        <v>0</v>
      </c>
      <c r="BA7">
        <v>10</v>
      </c>
      <c r="BB7" s="3">
        <f t="shared" ref="BB7:BB38" si="25">BA7/VALUE(BB$137)</f>
        <v>0.13157894736842105</v>
      </c>
      <c r="BC7">
        <v>17</v>
      </c>
      <c r="BD7" s="3">
        <f t="shared" ref="BD7:BD38" si="26">BC7/VALUE(BD$137)</f>
        <v>3.8812785388127852E-2</v>
      </c>
      <c r="BE7">
        <v>18</v>
      </c>
      <c r="BF7" s="3">
        <f t="shared" ref="BF7:BF38" si="27">BE7/VALUE(BF$137)</f>
        <v>0.39130434782608697</v>
      </c>
      <c r="BG7">
        <v>15340</v>
      </c>
      <c r="BH7" s="3">
        <f t="shared" ref="BH7:BH38" si="28">BG7/VALUE(BH$137)</f>
        <v>1.5173095944609298E-3</v>
      </c>
      <c r="BI7">
        <v>1770000</v>
      </c>
      <c r="BJ7" s="3">
        <f t="shared" ref="BJ7:BJ38" si="29">BI7/VALUE(BJ$137)</f>
        <v>9.3157894736842106E-2</v>
      </c>
      <c r="BK7">
        <v>84080000</v>
      </c>
      <c r="BL7" s="3">
        <f t="shared" ref="BL7:BL38" si="30">BK7/VALUE(BL$137)</f>
        <v>2.8026666666666668E-4</v>
      </c>
      <c r="BM7">
        <v>30480000</v>
      </c>
      <c r="BN7" s="3">
        <f t="shared" ref="BN7:BN38" si="31">BM7/VALUE(BN$137)</f>
        <v>3.7821069611614341E-2</v>
      </c>
      <c r="BO7">
        <v>162</v>
      </c>
      <c r="BP7" s="3">
        <f t="shared" ref="BP7:BP38" si="32">BO7/VALUE(BP$137)</f>
        <v>2.52611882114455E-2</v>
      </c>
      <c r="BQ7">
        <v>14</v>
      </c>
      <c r="BR7" s="3">
        <f t="shared" ref="BR7:BR38" si="33">BQ7/VALUE(BR$137)</f>
        <v>0.58333333333333337</v>
      </c>
      <c r="BS7">
        <v>951200</v>
      </c>
      <c r="BT7" s="3">
        <f t="shared" ref="BT7:BT38" si="34">BS7/VALUE(BT$137)</f>
        <v>0.14441419789542723</v>
      </c>
      <c r="BU7">
        <v>29640</v>
      </c>
      <c r="BV7" s="3">
        <f t="shared" ref="BV7:BV38" si="35">BU7/VALUE(BV$137)</f>
        <v>0.13185522616463219</v>
      </c>
      <c r="BW7">
        <v>464</v>
      </c>
      <c r="BX7" s="3">
        <f t="shared" ref="BX7:BX38" si="36">BW7/VALUE(BX$137)</f>
        <v>3.433730481758307E-2</v>
      </c>
      <c r="BY7">
        <v>35000</v>
      </c>
      <c r="BZ7" s="3">
        <f t="shared" ref="BZ7:BZ38" si="37">BY7/VALUE(BZ$137)</f>
        <v>5.9544062606328683E-2</v>
      </c>
      <c r="CA7" s="1">
        <v>5360000</v>
      </c>
      <c r="CB7">
        <v>138200</v>
      </c>
      <c r="CC7" s="3">
        <f t="shared" ref="CC7:CC38" si="38">CB7/VALUE(CC$137)</f>
        <v>4.4695989650711511E-2</v>
      </c>
      <c r="CD7">
        <v>2737000</v>
      </c>
      <c r="CE7" s="3">
        <f t="shared" ref="CE7:CE38" si="39">CD7/VALUE(CE$137)</f>
        <v>0.12867889045604136</v>
      </c>
      <c r="CF7" s="2">
        <v>643801</v>
      </c>
      <c r="CG7" s="3">
        <f t="shared" ref="CG7:CG38" si="40">1-(CF7/VALUE(CG$137))</f>
        <v>0.96234694771544349</v>
      </c>
      <c r="CH7" s="2">
        <v>4853</v>
      </c>
      <c r="CI7" s="3">
        <f t="shared" ref="CI7:CI38" si="41">1-(CH7/VALUE(CI$137))</f>
        <v>0.97598475851148059</v>
      </c>
      <c r="CJ7" s="2">
        <v>4072</v>
      </c>
      <c r="CK7" s="3">
        <f t="shared" ref="CK7:CK38" si="42">1-(CJ7/VALUE(CK$137))</f>
        <v>0.81867569132119167</v>
      </c>
      <c r="CL7" s="1">
        <v>8501</v>
      </c>
    </row>
    <row r="8" spans="1:90" x14ac:dyDescent="0.3">
      <c r="A8" t="s">
        <v>57</v>
      </c>
      <c r="B8" t="s">
        <v>58</v>
      </c>
      <c r="C8">
        <v>6</v>
      </c>
      <c r="D8" s="9">
        <f t="shared" si="1"/>
        <v>17</v>
      </c>
      <c r="E8" s="9">
        <f t="shared" si="0"/>
        <v>6.0714278413677247</v>
      </c>
      <c r="F8" s="1">
        <v>64430428</v>
      </c>
      <c r="G8">
        <v>30000000</v>
      </c>
      <c r="H8" s="3">
        <f t="shared" si="2"/>
        <v>0.04</v>
      </c>
      <c r="I8">
        <v>24040000</v>
      </c>
      <c r="J8" s="3">
        <f t="shared" si="3"/>
        <v>3.8836833602584817E-2</v>
      </c>
      <c r="K8">
        <v>750000</v>
      </c>
      <c r="L8" s="3">
        <f t="shared" si="4"/>
        <v>3.2751091703056769E-2</v>
      </c>
      <c r="M8">
        <v>232675</v>
      </c>
      <c r="N8" s="3">
        <f t="shared" si="5"/>
        <v>3.6101629169899146E-2</v>
      </c>
      <c r="O8">
        <v>151175</v>
      </c>
      <c r="P8" s="3">
        <f t="shared" si="6"/>
        <v>6.6891592920353987E-2</v>
      </c>
      <c r="Q8">
        <v>81500</v>
      </c>
      <c r="R8" s="3">
        <f t="shared" si="7"/>
        <v>1.4818181818181819E-2</v>
      </c>
      <c r="S8">
        <v>856</v>
      </c>
      <c r="T8" s="3">
        <f t="shared" si="8"/>
        <v>6.2200261589885189E-2</v>
      </c>
      <c r="U8">
        <v>88</v>
      </c>
      <c r="V8" s="3">
        <f t="shared" si="9"/>
        <v>3.8327526132404179E-2</v>
      </c>
      <c r="W8">
        <v>168</v>
      </c>
      <c r="X8" s="3">
        <f t="shared" si="10"/>
        <v>6.032315978456014E-2</v>
      </c>
      <c r="Y8">
        <v>337</v>
      </c>
      <c r="Z8" s="3">
        <f t="shared" si="11"/>
        <v>5.8721031538595571E-2</v>
      </c>
      <c r="AA8">
        <v>329</v>
      </c>
      <c r="AB8" s="3">
        <f t="shared" si="12"/>
        <v>0.11621335217237726</v>
      </c>
      <c r="AC8">
        <v>347</v>
      </c>
      <c r="AD8" s="3">
        <f t="shared" si="13"/>
        <v>5.7213520197856554E-2</v>
      </c>
      <c r="AE8">
        <v>39</v>
      </c>
      <c r="AF8" s="3">
        <f t="shared" si="14"/>
        <v>4.118268215417107E-2</v>
      </c>
      <c r="AG8">
        <v>249</v>
      </c>
      <c r="AH8" s="3">
        <f t="shared" si="15"/>
        <v>1.2316976652156707E-2</v>
      </c>
      <c r="AI8">
        <v>5948</v>
      </c>
      <c r="AJ8" s="3">
        <f t="shared" si="16"/>
        <v>0.1448541230334616</v>
      </c>
      <c r="AK8">
        <v>89</v>
      </c>
      <c r="AL8" s="3">
        <f t="shared" si="17"/>
        <v>1.4902880107166777E-2</v>
      </c>
      <c r="AM8">
        <v>138</v>
      </c>
      <c r="AN8" s="3">
        <f t="shared" si="18"/>
        <v>1.8613434043701107E-2</v>
      </c>
      <c r="AO8">
        <v>42</v>
      </c>
      <c r="AP8" s="3">
        <f t="shared" si="19"/>
        <v>1.1073029264434485E-2</v>
      </c>
      <c r="AQ8">
        <v>76</v>
      </c>
      <c r="AR8" s="3">
        <f t="shared" si="20"/>
        <v>7.8593588417786964E-2</v>
      </c>
      <c r="AS8">
        <v>2</v>
      </c>
      <c r="AT8" s="3">
        <f t="shared" si="21"/>
        <v>0.10526315789473684</v>
      </c>
      <c r="AU8">
        <v>13</v>
      </c>
      <c r="AV8" s="3">
        <f t="shared" si="22"/>
        <v>0.25490196078431371</v>
      </c>
      <c r="AW8">
        <v>6</v>
      </c>
      <c r="AX8" s="3">
        <f t="shared" si="23"/>
        <v>9.5238095238095233E-2</v>
      </c>
      <c r="AY8">
        <v>0</v>
      </c>
      <c r="AZ8" s="3">
        <f t="shared" si="24"/>
        <v>0</v>
      </c>
      <c r="BA8">
        <v>11</v>
      </c>
      <c r="BB8" s="3">
        <f t="shared" si="25"/>
        <v>0.14473684210526316</v>
      </c>
      <c r="BC8">
        <v>4</v>
      </c>
      <c r="BD8" s="3">
        <f t="shared" si="26"/>
        <v>9.1324200913242004E-3</v>
      </c>
      <c r="BE8">
        <v>15</v>
      </c>
      <c r="BF8" s="3">
        <f t="shared" si="27"/>
        <v>0.32608695652173914</v>
      </c>
      <c r="BG8">
        <v>787200</v>
      </c>
      <c r="BH8" s="3">
        <f t="shared" si="28"/>
        <v>7.7863501483679529E-2</v>
      </c>
      <c r="BI8">
        <v>1510000</v>
      </c>
      <c r="BJ8" s="3">
        <f t="shared" si="29"/>
        <v>7.9473684210526321E-2</v>
      </c>
      <c r="BK8">
        <v>2800000000</v>
      </c>
      <c r="BL8" s="3">
        <f t="shared" si="30"/>
        <v>9.3333333333333341E-3</v>
      </c>
      <c r="BM8">
        <v>33170000</v>
      </c>
      <c r="BN8" s="3">
        <f t="shared" si="31"/>
        <v>4.1158952723662982E-2</v>
      </c>
      <c r="BO8">
        <v>504</v>
      </c>
      <c r="BP8" s="3">
        <f t="shared" si="32"/>
        <v>7.859036332449712E-2</v>
      </c>
      <c r="BQ8">
        <v>14</v>
      </c>
      <c r="BR8" s="3">
        <f t="shared" si="33"/>
        <v>0.58333333333333337</v>
      </c>
      <c r="BS8">
        <v>394428</v>
      </c>
      <c r="BT8" s="3">
        <f t="shared" si="34"/>
        <v>5.9883308712676171E-2</v>
      </c>
      <c r="BU8">
        <v>16454</v>
      </c>
      <c r="BV8" s="3">
        <f t="shared" si="35"/>
        <v>7.3196555037545824E-2</v>
      </c>
      <c r="BW8">
        <v>460</v>
      </c>
      <c r="BX8" s="3">
        <f t="shared" si="36"/>
        <v>3.4041293569155626E-2</v>
      </c>
      <c r="BY8">
        <v>45700</v>
      </c>
      <c r="BZ8" s="3">
        <f t="shared" si="37"/>
        <v>7.774753317454916E-2</v>
      </c>
      <c r="CA8" s="1">
        <v>8126000</v>
      </c>
      <c r="CB8">
        <v>129600</v>
      </c>
      <c r="CC8" s="3">
        <f t="shared" si="38"/>
        <v>4.1914618369987063E-2</v>
      </c>
      <c r="CD8">
        <v>2788000</v>
      </c>
      <c r="CE8" s="3">
        <f t="shared" si="39"/>
        <v>0.1310766337564645</v>
      </c>
      <c r="CF8" s="2">
        <v>243610</v>
      </c>
      <c r="CG8" s="3">
        <f t="shared" si="40"/>
        <v>0.98575233640978999</v>
      </c>
      <c r="CH8" s="2">
        <v>12429</v>
      </c>
      <c r="CI8" s="3">
        <f t="shared" si="41"/>
        <v>0.93849465558194778</v>
      </c>
      <c r="CJ8" s="2">
        <v>443</v>
      </c>
      <c r="CK8" s="3">
        <f t="shared" si="42"/>
        <v>0.98027341140846946</v>
      </c>
      <c r="CL8" s="1">
        <v>3200</v>
      </c>
    </row>
    <row r="9" spans="1:90" x14ac:dyDescent="0.3">
      <c r="A9" t="s">
        <v>59</v>
      </c>
      <c r="B9" t="s">
        <v>60</v>
      </c>
      <c r="C9">
        <v>7</v>
      </c>
      <c r="D9" s="9">
        <f t="shared" si="1"/>
        <v>7</v>
      </c>
      <c r="E9" s="9">
        <f t="shared" si="0"/>
        <v>7.9846769278968344</v>
      </c>
      <c r="F9" s="1">
        <v>126702133</v>
      </c>
      <c r="G9">
        <v>54000000</v>
      </c>
      <c r="H9" s="3">
        <f t="shared" si="2"/>
        <v>7.1999999999999995E-2</v>
      </c>
      <c r="I9">
        <v>44000000</v>
      </c>
      <c r="J9" s="3">
        <f t="shared" si="3"/>
        <v>7.1082390953150248E-2</v>
      </c>
      <c r="K9">
        <v>1215000</v>
      </c>
      <c r="L9" s="3">
        <f t="shared" si="4"/>
        <v>5.3056768558951965E-2</v>
      </c>
      <c r="M9">
        <v>311875</v>
      </c>
      <c r="N9" s="3">
        <f t="shared" si="5"/>
        <v>4.839022498060512E-2</v>
      </c>
      <c r="O9">
        <v>248575</v>
      </c>
      <c r="P9" s="3">
        <f t="shared" si="6"/>
        <v>0.10998893805309734</v>
      </c>
      <c r="Q9">
        <v>63300</v>
      </c>
      <c r="R9" s="3">
        <f t="shared" si="7"/>
        <v>1.150909090909091E-2</v>
      </c>
      <c r="S9">
        <v>1594</v>
      </c>
      <c r="T9" s="3">
        <f t="shared" si="8"/>
        <v>0.1158261880540619</v>
      </c>
      <c r="U9">
        <v>288</v>
      </c>
      <c r="V9" s="3">
        <f t="shared" si="9"/>
        <v>0.12543554006968641</v>
      </c>
      <c r="W9">
        <v>287</v>
      </c>
      <c r="X9" s="3">
        <f t="shared" si="10"/>
        <v>0.10305206463195692</v>
      </c>
      <c r="Y9">
        <v>481</v>
      </c>
      <c r="Z9" s="3">
        <f t="shared" si="11"/>
        <v>8.3812510890399025E-2</v>
      </c>
      <c r="AA9">
        <v>447</v>
      </c>
      <c r="AB9" s="3">
        <f t="shared" si="12"/>
        <v>0.15789473684210525</v>
      </c>
      <c r="AC9">
        <v>659</v>
      </c>
      <c r="AD9" s="3">
        <f t="shared" si="13"/>
        <v>0.10865622423742786</v>
      </c>
      <c r="AE9">
        <v>119</v>
      </c>
      <c r="AF9" s="3">
        <f t="shared" si="14"/>
        <v>0.12565997888067582</v>
      </c>
      <c r="AG9">
        <v>700</v>
      </c>
      <c r="AH9" s="3">
        <f t="shared" si="15"/>
        <v>3.4626038781163437E-2</v>
      </c>
      <c r="AI9">
        <v>2850</v>
      </c>
      <c r="AJ9" s="3">
        <f t="shared" si="16"/>
        <v>6.9407237835468316E-2</v>
      </c>
      <c r="AK9">
        <v>202</v>
      </c>
      <c r="AL9" s="3">
        <f t="shared" si="17"/>
        <v>3.3824514400535834E-2</v>
      </c>
      <c r="AM9">
        <v>500</v>
      </c>
      <c r="AN9" s="3">
        <f t="shared" si="18"/>
        <v>6.7439978419206903E-2</v>
      </c>
      <c r="AO9">
        <v>99</v>
      </c>
      <c r="AP9" s="3">
        <f t="shared" si="19"/>
        <v>2.6100711837595571E-2</v>
      </c>
      <c r="AQ9">
        <v>131</v>
      </c>
      <c r="AR9" s="3">
        <f t="shared" si="20"/>
        <v>0.13547052740434332</v>
      </c>
      <c r="AS9">
        <v>4</v>
      </c>
      <c r="AT9" s="3">
        <f t="shared" si="21"/>
        <v>0.21052631578947367</v>
      </c>
      <c r="AU9">
        <v>0</v>
      </c>
      <c r="AV9" s="3">
        <f t="shared" si="22"/>
        <v>0</v>
      </c>
      <c r="AW9">
        <v>42</v>
      </c>
      <c r="AX9" s="3">
        <f t="shared" si="23"/>
        <v>0.66666666666666663</v>
      </c>
      <c r="AY9">
        <v>6</v>
      </c>
      <c r="AZ9" s="3">
        <f t="shared" si="24"/>
        <v>7.407407407407407E-2</v>
      </c>
      <c r="BA9">
        <v>17</v>
      </c>
      <c r="BB9" s="3">
        <f t="shared" si="25"/>
        <v>0.22368421052631579</v>
      </c>
      <c r="BC9">
        <v>6</v>
      </c>
      <c r="BD9" s="3">
        <f t="shared" si="26"/>
        <v>1.3698630136986301E-2</v>
      </c>
      <c r="BE9">
        <v>25</v>
      </c>
      <c r="BF9" s="3">
        <f t="shared" si="27"/>
        <v>0.54347826086956519</v>
      </c>
      <c r="BG9">
        <v>4666</v>
      </c>
      <c r="BH9" s="3">
        <f t="shared" si="28"/>
        <v>4.6152324431256181E-4</v>
      </c>
      <c r="BI9">
        <v>4530800</v>
      </c>
      <c r="BJ9" s="3">
        <f t="shared" si="29"/>
        <v>0.23846315789473685</v>
      </c>
      <c r="BK9">
        <v>541600000</v>
      </c>
      <c r="BL9" s="3">
        <f t="shared" si="30"/>
        <v>1.8053333333333333E-3</v>
      </c>
      <c r="BM9">
        <v>65930000</v>
      </c>
      <c r="BN9" s="3">
        <f t="shared" si="31"/>
        <v>8.1809157463705179E-2</v>
      </c>
      <c r="BO9">
        <v>684</v>
      </c>
      <c r="BP9" s="3">
        <f t="shared" si="32"/>
        <v>0.10665835022610323</v>
      </c>
      <c r="BQ9">
        <v>10</v>
      </c>
      <c r="BR9" s="3">
        <f t="shared" si="33"/>
        <v>0.41666666666666669</v>
      </c>
      <c r="BS9">
        <v>1210251</v>
      </c>
      <c r="BT9" s="3">
        <f t="shared" si="34"/>
        <v>0.18374414152348476</v>
      </c>
      <c r="BU9">
        <v>27182</v>
      </c>
      <c r="BV9" s="3">
        <f t="shared" si="35"/>
        <v>0.12092067333357059</v>
      </c>
      <c r="BW9">
        <v>175</v>
      </c>
      <c r="BX9" s="3">
        <f t="shared" si="36"/>
        <v>1.295049211870051E-2</v>
      </c>
      <c r="BY9">
        <v>43800</v>
      </c>
      <c r="BZ9" s="3">
        <f t="shared" si="37"/>
        <v>7.451514120449132E-2</v>
      </c>
      <c r="CA9" s="1">
        <v>3240000</v>
      </c>
      <c r="CB9">
        <v>1233000</v>
      </c>
      <c r="CC9" s="3">
        <f t="shared" si="38"/>
        <v>0.39877102199223802</v>
      </c>
      <c r="CD9">
        <v>4932000</v>
      </c>
      <c r="CE9" s="3">
        <f t="shared" si="39"/>
        <v>0.23187588152327221</v>
      </c>
      <c r="CF9" s="2">
        <v>377915</v>
      </c>
      <c r="CG9" s="3">
        <f t="shared" si="40"/>
        <v>0.97789743530358264</v>
      </c>
      <c r="CH9" s="2">
        <v>29751</v>
      </c>
      <c r="CI9" s="3">
        <f t="shared" si="41"/>
        <v>0.85277612826603322</v>
      </c>
      <c r="CJ9" s="2">
        <v>0</v>
      </c>
      <c r="CK9" s="3">
        <f t="shared" si="42"/>
        <v>1</v>
      </c>
      <c r="CL9" s="1">
        <v>1770</v>
      </c>
    </row>
    <row r="10" spans="1:90" x14ac:dyDescent="0.3">
      <c r="A10" t="s">
        <v>61</v>
      </c>
      <c r="B10" t="s">
        <v>62</v>
      </c>
      <c r="C10">
        <v>8</v>
      </c>
      <c r="D10" s="9">
        <f t="shared" si="1"/>
        <v>12</v>
      </c>
      <c r="E10" s="9">
        <f t="shared" si="0"/>
        <v>6.5426145131395739</v>
      </c>
      <c r="F10" s="1">
        <v>80274604</v>
      </c>
      <c r="G10">
        <v>41640000</v>
      </c>
      <c r="H10" s="3">
        <f t="shared" si="2"/>
        <v>5.552E-2</v>
      </c>
      <c r="I10">
        <v>35010000</v>
      </c>
      <c r="J10" s="3">
        <f t="shared" si="3"/>
        <v>5.6558966074313412E-2</v>
      </c>
      <c r="K10">
        <v>1375000</v>
      </c>
      <c r="L10" s="3">
        <f t="shared" si="4"/>
        <v>6.0043668122270744E-2</v>
      </c>
      <c r="M10">
        <v>743415</v>
      </c>
      <c r="N10" s="3">
        <f t="shared" si="5"/>
        <v>0.11534755624515128</v>
      </c>
      <c r="O10">
        <v>382850</v>
      </c>
      <c r="P10" s="3">
        <f t="shared" si="6"/>
        <v>0.16940265486725664</v>
      </c>
      <c r="Q10">
        <v>360565</v>
      </c>
      <c r="R10" s="3">
        <f t="shared" si="7"/>
        <v>6.5557272727272728E-2</v>
      </c>
      <c r="S10">
        <v>1018</v>
      </c>
      <c r="T10" s="3">
        <f t="shared" si="8"/>
        <v>7.3971806423484956E-2</v>
      </c>
      <c r="U10">
        <v>207</v>
      </c>
      <c r="V10" s="3">
        <f t="shared" si="9"/>
        <v>9.0156794425087103E-2</v>
      </c>
      <c r="W10">
        <v>207</v>
      </c>
      <c r="X10" s="3">
        <f t="shared" si="10"/>
        <v>7.4326750448833037E-2</v>
      </c>
      <c r="Y10">
        <v>439</v>
      </c>
      <c r="Z10" s="3">
        <f t="shared" si="11"/>
        <v>7.6494162746123015E-2</v>
      </c>
      <c r="AA10">
        <v>276</v>
      </c>
      <c r="AB10" s="3">
        <f t="shared" si="12"/>
        <v>9.7492052278346869E-2</v>
      </c>
      <c r="AC10">
        <v>455</v>
      </c>
      <c r="AD10" s="3">
        <f t="shared" si="13"/>
        <v>7.5020610057708159E-2</v>
      </c>
      <c r="AE10">
        <v>70</v>
      </c>
      <c r="AF10" s="3">
        <f t="shared" si="14"/>
        <v>7.3917634635691662E-2</v>
      </c>
      <c r="AG10">
        <v>2445</v>
      </c>
      <c r="AH10" s="3">
        <f t="shared" si="15"/>
        <v>0.12094380688563514</v>
      </c>
      <c r="AI10">
        <v>7550</v>
      </c>
      <c r="AJ10" s="3">
        <f t="shared" si="16"/>
        <v>0.18386829672203009</v>
      </c>
      <c r="AK10">
        <v>1013</v>
      </c>
      <c r="AL10" s="3">
        <f t="shared" si="17"/>
        <v>0.16962491627595444</v>
      </c>
      <c r="AM10">
        <v>697</v>
      </c>
      <c r="AN10" s="3">
        <f t="shared" si="18"/>
        <v>9.4011329916374425E-2</v>
      </c>
      <c r="AO10">
        <v>811</v>
      </c>
      <c r="AP10" s="3">
        <f t="shared" si="19"/>
        <v>0.21381492222515158</v>
      </c>
      <c r="AQ10">
        <v>194</v>
      </c>
      <c r="AR10" s="3">
        <f t="shared" si="20"/>
        <v>0.20062047569803515</v>
      </c>
      <c r="AS10">
        <v>0</v>
      </c>
      <c r="AT10" s="3">
        <f t="shared" si="21"/>
        <v>0</v>
      </c>
      <c r="AU10">
        <v>16</v>
      </c>
      <c r="AV10" s="3">
        <f t="shared" si="22"/>
        <v>0.31372549019607843</v>
      </c>
      <c r="AW10">
        <v>0</v>
      </c>
      <c r="AX10" s="3">
        <f t="shared" si="23"/>
        <v>0</v>
      </c>
      <c r="AY10">
        <v>9</v>
      </c>
      <c r="AZ10" s="3">
        <f t="shared" si="24"/>
        <v>0.1111111111111111</v>
      </c>
      <c r="BA10">
        <v>12</v>
      </c>
      <c r="BB10" s="3">
        <f t="shared" si="25"/>
        <v>0.15789473684210525</v>
      </c>
      <c r="BC10">
        <v>34</v>
      </c>
      <c r="BD10" s="3">
        <f t="shared" si="26"/>
        <v>7.7625570776255703E-2</v>
      </c>
      <c r="BE10">
        <v>11</v>
      </c>
      <c r="BF10" s="3">
        <f t="shared" si="27"/>
        <v>0.2391304347826087</v>
      </c>
      <c r="BG10">
        <v>47670</v>
      </c>
      <c r="BH10" s="3">
        <f t="shared" si="28"/>
        <v>4.7151335311572699E-3</v>
      </c>
      <c r="BI10">
        <v>720000</v>
      </c>
      <c r="BJ10" s="3">
        <f t="shared" si="29"/>
        <v>3.7894736842105266E-2</v>
      </c>
      <c r="BK10">
        <v>300000000</v>
      </c>
      <c r="BL10" s="3">
        <f t="shared" si="30"/>
        <v>1E-3</v>
      </c>
      <c r="BM10">
        <v>30240000</v>
      </c>
      <c r="BN10" s="3">
        <f t="shared" si="31"/>
        <v>3.75232659138851E-2</v>
      </c>
      <c r="BO10">
        <v>629</v>
      </c>
      <c r="BP10" s="3">
        <f t="shared" si="32"/>
        <v>9.8082020895056909E-2</v>
      </c>
      <c r="BQ10">
        <v>9</v>
      </c>
      <c r="BR10" s="3">
        <f t="shared" si="33"/>
        <v>0.375</v>
      </c>
      <c r="BS10">
        <v>352046</v>
      </c>
      <c r="BT10" s="3">
        <f t="shared" si="34"/>
        <v>5.3448739184497031E-2</v>
      </c>
      <c r="BU10">
        <v>8699</v>
      </c>
      <c r="BV10" s="3">
        <f t="shared" si="35"/>
        <v>3.8697996369977582E-2</v>
      </c>
      <c r="BW10">
        <v>98</v>
      </c>
      <c r="BX10" s="3">
        <f t="shared" si="36"/>
        <v>7.2522755864722855E-3</v>
      </c>
      <c r="BY10">
        <v>8208</v>
      </c>
      <c r="BZ10" s="3">
        <f t="shared" si="37"/>
        <v>1.396393331064988E-2</v>
      </c>
      <c r="CA10" s="1">
        <v>410400</v>
      </c>
      <c r="CB10">
        <v>115000</v>
      </c>
      <c r="CC10" s="3">
        <f t="shared" si="38"/>
        <v>3.7192755498059511E-2</v>
      </c>
      <c r="CD10">
        <v>1670000</v>
      </c>
      <c r="CE10" s="3">
        <f t="shared" si="39"/>
        <v>7.8514339445228024E-2</v>
      </c>
      <c r="CF10" s="2">
        <v>783562</v>
      </c>
      <c r="CG10" s="3">
        <f t="shared" si="40"/>
        <v>0.95417294947632625</v>
      </c>
      <c r="CH10" s="2">
        <v>7200</v>
      </c>
      <c r="CI10" s="3">
        <f t="shared" si="41"/>
        <v>0.96437054631828978</v>
      </c>
      <c r="CJ10" s="2">
        <v>2816</v>
      </c>
      <c r="CK10" s="3">
        <f t="shared" si="42"/>
        <v>0.8746048002849891</v>
      </c>
      <c r="CL10" s="1">
        <v>1200</v>
      </c>
    </row>
    <row r="11" spans="1:90" x14ac:dyDescent="0.3">
      <c r="A11" t="s">
        <v>63</v>
      </c>
      <c r="B11" t="s">
        <v>64</v>
      </c>
      <c r="C11">
        <v>9</v>
      </c>
      <c r="D11" s="9">
        <f t="shared" si="1"/>
        <v>19</v>
      </c>
      <c r="E11" s="9">
        <f t="shared" si="0"/>
        <v>5.7431202665547305</v>
      </c>
      <c r="F11" s="1">
        <v>80722792</v>
      </c>
      <c r="G11">
        <v>37000000</v>
      </c>
      <c r="H11" s="3">
        <f t="shared" si="2"/>
        <v>4.9333333333333333E-2</v>
      </c>
      <c r="I11">
        <v>29540000</v>
      </c>
      <c r="J11" s="3">
        <f t="shared" si="3"/>
        <v>4.7722132471728594E-2</v>
      </c>
      <c r="K11">
        <v>791000</v>
      </c>
      <c r="L11" s="3">
        <f t="shared" si="4"/>
        <v>3.4541484716157207E-2</v>
      </c>
      <c r="M11">
        <v>210000</v>
      </c>
      <c r="N11" s="3">
        <f t="shared" si="5"/>
        <v>3.2583397982932506E-2</v>
      </c>
      <c r="O11">
        <v>180000</v>
      </c>
      <c r="P11" s="3">
        <f t="shared" si="6"/>
        <v>7.9646017699115043E-2</v>
      </c>
      <c r="Q11">
        <v>30000</v>
      </c>
      <c r="R11" s="3">
        <f t="shared" si="7"/>
        <v>5.454545454545455E-3</v>
      </c>
      <c r="S11">
        <v>698</v>
      </c>
      <c r="T11" s="3">
        <f t="shared" si="8"/>
        <v>5.0719372184275538E-2</v>
      </c>
      <c r="U11">
        <v>92</v>
      </c>
      <c r="V11" s="3">
        <f t="shared" si="9"/>
        <v>4.0069686411149823E-2</v>
      </c>
      <c r="W11">
        <v>169</v>
      </c>
      <c r="X11" s="3">
        <f t="shared" si="10"/>
        <v>6.068222621184919E-2</v>
      </c>
      <c r="Y11">
        <v>345</v>
      </c>
      <c r="Z11" s="3">
        <f t="shared" si="11"/>
        <v>6.0115002613695769E-2</v>
      </c>
      <c r="AA11">
        <v>47</v>
      </c>
      <c r="AB11" s="3">
        <f t="shared" si="12"/>
        <v>1.660190745319675E-2</v>
      </c>
      <c r="AC11">
        <v>375</v>
      </c>
      <c r="AD11" s="3">
        <f t="shared" si="13"/>
        <v>6.1830173124484751E-2</v>
      </c>
      <c r="AE11">
        <v>47</v>
      </c>
      <c r="AF11" s="3">
        <f t="shared" si="14"/>
        <v>4.9630411826821541E-2</v>
      </c>
      <c r="AG11">
        <v>543</v>
      </c>
      <c r="AH11" s="3">
        <f t="shared" si="15"/>
        <v>2.685991294024535E-2</v>
      </c>
      <c r="AI11">
        <v>5869</v>
      </c>
      <c r="AJ11" s="3">
        <f t="shared" si="16"/>
        <v>0.14293020310749599</v>
      </c>
      <c r="AK11">
        <v>154</v>
      </c>
      <c r="AL11" s="3">
        <f t="shared" si="17"/>
        <v>2.578700602813128E-2</v>
      </c>
      <c r="AM11">
        <v>0</v>
      </c>
      <c r="AN11" s="3">
        <f t="shared" si="18"/>
        <v>0</v>
      </c>
      <c r="AO11">
        <v>50</v>
      </c>
      <c r="AP11" s="3">
        <f t="shared" si="19"/>
        <v>1.3182177695755339E-2</v>
      </c>
      <c r="AQ11">
        <v>81</v>
      </c>
      <c r="AR11" s="3">
        <f t="shared" si="20"/>
        <v>8.376421923474664E-2</v>
      </c>
      <c r="AS11">
        <v>0</v>
      </c>
      <c r="AT11" s="3">
        <f t="shared" si="21"/>
        <v>0</v>
      </c>
      <c r="AU11">
        <v>10</v>
      </c>
      <c r="AV11" s="3">
        <f t="shared" si="22"/>
        <v>0.19607843137254902</v>
      </c>
      <c r="AW11">
        <v>0</v>
      </c>
      <c r="AX11" s="3">
        <f t="shared" si="23"/>
        <v>0</v>
      </c>
      <c r="AY11">
        <v>5</v>
      </c>
      <c r="AZ11" s="3">
        <f t="shared" si="24"/>
        <v>6.1728395061728392E-2</v>
      </c>
      <c r="BA11">
        <v>6</v>
      </c>
      <c r="BB11" s="3">
        <f t="shared" si="25"/>
        <v>7.8947368421052627E-2</v>
      </c>
      <c r="BC11">
        <v>4</v>
      </c>
      <c r="BD11" s="3">
        <f t="shared" si="26"/>
        <v>9.1324200913242004E-3</v>
      </c>
      <c r="BE11">
        <v>13</v>
      </c>
      <c r="BF11" s="3">
        <f t="shared" si="27"/>
        <v>0.28260869565217389</v>
      </c>
      <c r="BG11">
        <v>48830</v>
      </c>
      <c r="BH11" s="3">
        <f t="shared" si="28"/>
        <v>4.8298714144411475E-3</v>
      </c>
      <c r="BI11">
        <v>2400000</v>
      </c>
      <c r="BJ11" s="3">
        <f t="shared" si="29"/>
        <v>0.12631578947368421</v>
      </c>
      <c r="BK11">
        <v>100000000</v>
      </c>
      <c r="BL11" s="3">
        <f t="shared" si="30"/>
        <v>3.3333333333333332E-4</v>
      </c>
      <c r="BM11">
        <v>45300000</v>
      </c>
      <c r="BN11" s="3">
        <f t="shared" si="31"/>
        <v>5.6210447946395334E-2</v>
      </c>
      <c r="BO11">
        <v>427</v>
      </c>
      <c r="BP11" s="3">
        <f t="shared" si="32"/>
        <v>6.6583502261032282E-2</v>
      </c>
      <c r="BQ11">
        <v>13</v>
      </c>
      <c r="BR11" s="3">
        <f t="shared" si="33"/>
        <v>0.54166666666666663</v>
      </c>
      <c r="BS11">
        <v>644480</v>
      </c>
      <c r="BT11" s="3">
        <f t="shared" si="34"/>
        <v>9.7846995647229762E-2</v>
      </c>
      <c r="BU11">
        <v>41981</v>
      </c>
      <c r="BV11" s="3">
        <f t="shared" si="35"/>
        <v>0.18675486672123562</v>
      </c>
      <c r="BW11">
        <v>539</v>
      </c>
      <c r="BX11" s="3">
        <f t="shared" si="36"/>
        <v>3.9887515725597573E-2</v>
      </c>
      <c r="BY11">
        <v>39200</v>
      </c>
      <c r="BZ11" s="3">
        <f t="shared" si="37"/>
        <v>6.6689350119088123E-2</v>
      </c>
      <c r="CA11" s="1">
        <v>5326000</v>
      </c>
      <c r="CB11">
        <v>173700</v>
      </c>
      <c r="CC11" s="3">
        <f t="shared" si="38"/>
        <v>5.6177231565329881E-2</v>
      </c>
      <c r="CD11">
        <v>3979000</v>
      </c>
      <c r="CE11" s="3">
        <f t="shared" si="39"/>
        <v>0.18707099200752234</v>
      </c>
      <c r="CF11" s="2">
        <v>357022</v>
      </c>
      <c r="CG11" s="3">
        <f t="shared" si="40"/>
        <v>0.97911937379293146</v>
      </c>
      <c r="CH11" s="2">
        <v>2389</v>
      </c>
      <c r="CI11" s="3">
        <f t="shared" si="41"/>
        <v>0.98817794932699921</v>
      </c>
      <c r="CJ11" s="2">
        <v>3694</v>
      </c>
      <c r="CK11" s="3">
        <f t="shared" si="42"/>
        <v>0.83550785946475492</v>
      </c>
      <c r="CL11" s="1">
        <v>7467</v>
      </c>
    </row>
    <row r="12" spans="1:90" x14ac:dyDescent="0.3">
      <c r="A12" t="s">
        <v>65</v>
      </c>
      <c r="B12" t="s">
        <v>66</v>
      </c>
      <c r="C12">
        <v>10</v>
      </c>
      <c r="D12" s="9">
        <f t="shared" si="1"/>
        <v>8</v>
      </c>
      <c r="E12" s="9">
        <f t="shared" si="0"/>
        <v>7.8802944893305344</v>
      </c>
      <c r="F12" s="1">
        <v>94666993</v>
      </c>
      <c r="G12">
        <v>42000000</v>
      </c>
      <c r="H12" s="3">
        <f t="shared" si="2"/>
        <v>5.6000000000000001E-2</v>
      </c>
      <c r="I12">
        <v>35306000</v>
      </c>
      <c r="J12" s="3">
        <f t="shared" si="3"/>
        <v>5.7037156704361873E-2</v>
      </c>
      <c r="K12">
        <v>1535000</v>
      </c>
      <c r="L12" s="3">
        <f t="shared" si="4"/>
        <v>6.7030567685589515E-2</v>
      </c>
      <c r="M12">
        <v>1329250</v>
      </c>
      <c r="N12" s="3">
        <f t="shared" si="5"/>
        <v>0.20624515128006207</v>
      </c>
      <c r="O12">
        <v>454250</v>
      </c>
      <c r="P12" s="3">
        <f t="shared" si="6"/>
        <v>0.20099557522123893</v>
      </c>
      <c r="Q12">
        <v>875000</v>
      </c>
      <c r="R12" s="3">
        <f t="shared" si="7"/>
        <v>0.15909090909090909</v>
      </c>
      <c r="S12">
        <v>1132</v>
      </c>
      <c r="T12" s="3">
        <f t="shared" si="8"/>
        <v>8.2255486121203314E-2</v>
      </c>
      <c r="U12">
        <v>337</v>
      </c>
      <c r="V12" s="3">
        <f t="shared" si="9"/>
        <v>0.14677700348432055</v>
      </c>
      <c r="W12">
        <v>427</v>
      </c>
      <c r="X12" s="3">
        <f t="shared" si="10"/>
        <v>0.1533213644524237</v>
      </c>
      <c r="Y12">
        <v>260</v>
      </c>
      <c r="Z12" s="3">
        <f t="shared" si="11"/>
        <v>4.5304059940756231E-2</v>
      </c>
      <c r="AA12">
        <v>384</v>
      </c>
      <c r="AB12" s="3">
        <f t="shared" si="12"/>
        <v>0.13564111621335218</v>
      </c>
      <c r="AC12">
        <v>257</v>
      </c>
      <c r="AD12" s="3">
        <f t="shared" si="13"/>
        <v>4.2374278647980212E-2</v>
      </c>
      <c r="AE12">
        <v>46</v>
      </c>
      <c r="AF12" s="3">
        <f t="shared" si="14"/>
        <v>4.8574445617740235E-2</v>
      </c>
      <c r="AG12">
        <v>4110</v>
      </c>
      <c r="AH12" s="3">
        <f t="shared" si="15"/>
        <v>0.20330431341511673</v>
      </c>
      <c r="AI12">
        <v>13949</v>
      </c>
      <c r="AJ12" s="3">
        <f t="shared" si="16"/>
        <v>0.33970581072524475</v>
      </c>
      <c r="AK12">
        <v>889</v>
      </c>
      <c r="AL12" s="3">
        <f t="shared" si="17"/>
        <v>0.14886135298057601</v>
      </c>
      <c r="AM12">
        <v>2360</v>
      </c>
      <c r="AN12" s="3">
        <f t="shared" si="18"/>
        <v>0.3183166981386566</v>
      </c>
      <c r="AO12">
        <v>1481</v>
      </c>
      <c r="AP12" s="3">
        <f t="shared" si="19"/>
        <v>0.39045610334827313</v>
      </c>
      <c r="AQ12">
        <v>319</v>
      </c>
      <c r="AR12" s="3">
        <f t="shared" si="20"/>
        <v>0.32988624612202688</v>
      </c>
      <c r="AS12">
        <v>2</v>
      </c>
      <c r="AT12" s="3">
        <f t="shared" si="21"/>
        <v>0.10526315789473684</v>
      </c>
      <c r="AU12">
        <v>9</v>
      </c>
      <c r="AV12" s="3">
        <f t="shared" si="22"/>
        <v>0.17647058823529413</v>
      </c>
      <c r="AW12">
        <v>0</v>
      </c>
      <c r="AX12" s="3">
        <f t="shared" si="23"/>
        <v>0</v>
      </c>
      <c r="AY12">
        <v>2</v>
      </c>
      <c r="AZ12" s="3">
        <f t="shared" si="24"/>
        <v>2.4691358024691357E-2</v>
      </c>
      <c r="BA12">
        <v>5</v>
      </c>
      <c r="BB12" s="3">
        <f t="shared" si="25"/>
        <v>6.5789473684210523E-2</v>
      </c>
      <c r="BC12">
        <v>227</v>
      </c>
      <c r="BD12" s="3">
        <f t="shared" si="26"/>
        <v>0.5182648401826484</v>
      </c>
      <c r="BE12">
        <v>23</v>
      </c>
      <c r="BF12" s="3">
        <f t="shared" si="27"/>
        <v>0.5</v>
      </c>
      <c r="BG12">
        <v>478400</v>
      </c>
      <c r="BH12" s="3">
        <f t="shared" si="28"/>
        <v>4.7319485657764587E-2</v>
      </c>
      <c r="BI12">
        <v>740000</v>
      </c>
      <c r="BJ12" s="3">
        <f t="shared" si="29"/>
        <v>3.8947368421052633E-2</v>
      </c>
      <c r="BK12">
        <v>4400000000</v>
      </c>
      <c r="BL12" s="3">
        <f t="shared" si="30"/>
        <v>1.4666666666666666E-2</v>
      </c>
      <c r="BM12">
        <v>31960000</v>
      </c>
      <c r="BN12" s="3">
        <f t="shared" si="31"/>
        <v>3.9657525747611368E-2</v>
      </c>
      <c r="BO12">
        <v>67</v>
      </c>
      <c r="BP12" s="3">
        <f t="shared" si="32"/>
        <v>1.0447528457820054E-2</v>
      </c>
      <c r="BQ12">
        <v>7</v>
      </c>
      <c r="BR12" s="3">
        <f t="shared" si="33"/>
        <v>0.29166666666666669</v>
      </c>
      <c r="BS12">
        <v>65050</v>
      </c>
      <c r="BT12" s="3">
        <f t="shared" si="34"/>
        <v>9.876097112171512E-3</v>
      </c>
      <c r="BU12">
        <v>5083</v>
      </c>
      <c r="BV12" s="3">
        <f t="shared" si="35"/>
        <v>2.2612014662443503E-2</v>
      </c>
      <c r="BW12">
        <v>83</v>
      </c>
      <c r="BX12" s="3">
        <f t="shared" si="36"/>
        <v>6.142233404869385E-3</v>
      </c>
      <c r="BY12">
        <v>4400</v>
      </c>
      <c r="BZ12" s="3">
        <f t="shared" si="37"/>
        <v>7.4855392990813199E-3</v>
      </c>
      <c r="CA12" s="1">
        <v>50670</v>
      </c>
      <c r="CB12">
        <v>15060</v>
      </c>
      <c r="CC12" s="3">
        <f t="shared" si="38"/>
        <v>4.8706338939197933E-3</v>
      </c>
      <c r="CD12">
        <v>1105000</v>
      </c>
      <c r="CE12" s="3">
        <f t="shared" si="39"/>
        <v>5.1951104842501178E-2</v>
      </c>
      <c r="CF12" s="2">
        <v>1001450</v>
      </c>
      <c r="CG12" s="3">
        <f t="shared" si="40"/>
        <v>0.94142965107173004</v>
      </c>
      <c r="CH12" s="2">
        <v>2450</v>
      </c>
      <c r="CI12" s="3">
        <f t="shared" si="41"/>
        <v>0.98787608867775134</v>
      </c>
      <c r="CJ12" s="2">
        <v>2612</v>
      </c>
      <c r="CK12" s="3">
        <f t="shared" si="42"/>
        <v>0.8836888275370709</v>
      </c>
      <c r="CL12" s="1">
        <v>3500</v>
      </c>
    </row>
    <row r="13" spans="1:90" x14ac:dyDescent="0.3">
      <c r="A13" t="s">
        <v>67</v>
      </c>
      <c r="B13" t="s">
        <v>68</v>
      </c>
      <c r="C13">
        <v>11</v>
      </c>
      <c r="D13" s="9">
        <f t="shared" si="1"/>
        <v>20</v>
      </c>
      <c r="E13" s="9">
        <f t="shared" si="0"/>
        <v>5.7213873585807553</v>
      </c>
      <c r="F13" s="1">
        <v>62007540</v>
      </c>
      <c r="G13">
        <v>28000000</v>
      </c>
      <c r="H13" s="3">
        <f t="shared" si="2"/>
        <v>3.7333333333333336E-2</v>
      </c>
      <c r="I13">
        <v>22600000</v>
      </c>
      <c r="J13" s="3">
        <f t="shared" si="3"/>
        <v>3.6510500807754441E-2</v>
      </c>
      <c r="K13">
        <v>570000</v>
      </c>
      <c r="L13" s="3">
        <f t="shared" si="4"/>
        <v>2.4890829694323144E-2</v>
      </c>
      <c r="M13">
        <v>267500</v>
      </c>
      <c r="N13" s="3">
        <f t="shared" si="5"/>
        <v>4.1505042668735455E-2</v>
      </c>
      <c r="O13">
        <v>247500</v>
      </c>
      <c r="P13" s="3">
        <f t="shared" si="6"/>
        <v>0.10951327433628319</v>
      </c>
      <c r="Q13">
        <v>20000</v>
      </c>
      <c r="R13" s="3">
        <f t="shared" si="7"/>
        <v>3.6363636363636364E-3</v>
      </c>
      <c r="S13">
        <v>822</v>
      </c>
      <c r="T13" s="3">
        <f t="shared" si="8"/>
        <v>5.9729690451969193E-2</v>
      </c>
      <c r="U13">
        <v>79</v>
      </c>
      <c r="V13" s="3">
        <f t="shared" si="9"/>
        <v>3.4407665505226483E-2</v>
      </c>
      <c r="W13">
        <v>185</v>
      </c>
      <c r="X13" s="3">
        <f t="shared" si="10"/>
        <v>6.6427289048473961E-2</v>
      </c>
      <c r="Y13">
        <v>424</v>
      </c>
      <c r="Z13" s="3">
        <f t="shared" si="11"/>
        <v>7.3880466980310158E-2</v>
      </c>
      <c r="AA13">
        <v>189</v>
      </c>
      <c r="AB13" s="3">
        <f t="shared" si="12"/>
        <v>6.6760861886259279E-2</v>
      </c>
      <c r="AC13">
        <v>430</v>
      </c>
      <c r="AD13" s="3">
        <f t="shared" si="13"/>
        <v>7.0898598516075842E-2</v>
      </c>
      <c r="AE13">
        <v>59</v>
      </c>
      <c r="AF13" s="3">
        <f t="shared" si="14"/>
        <v>6.2302006335797251E-2</v>
      </c>
      <c r="AG13">
        <v>200</v>
      </c>
      <c r="AH13" s="3">
        <f t="shared" si="15"/>
        <v>9.8931539374752676E-3</v>
      </c>
      <c r="AI13">
        <v>6972</v>
      </c>
      <c r="AJ13" s="3">
        <f t="shared" si="16"/>
        <v>0.16979202182066144</v>
      </c>
      <c r="AK13">
        <v>164</v>
      </c>
      <c r="AL13" s="3">
        <f t="shared" si="17"/>
        <v>2.7461486939048894E-2</v>
      </c>
      <c r="AM13">
        <v>92</v>
      </c>
      <c r="AN13" s="3">
        <f t="shared" si="18"/>
        <v>1.2408956029134071E-2</v>
      </c>
      <c r="AO13">
        <v>21</v>
      </c>
      <c r="AP13" s="3">
        <f t="shared" si="19"/>
        <v>5.5365146322172423E-3</v>
      </c>
      <c r="AQ13">
        <v>143</v>
      </c>
      <c r="AR13" s="3">
        <f t="shared" si="20"/>
        <v>0.14788004136504654</v>
      </c>
      <c r="AS13">
        <v>2</v>
      </c>
      <c r="AT13" s="3">
        <f t="shared" si="21"/>
        <v>0.10526315789473684</v>
      </c>
      <c r="AU13">
        <v>14</v>
      </c>
      <c r="AV13" s="3">
        <f t="shared" si="22"/>
        <v>0.27450980392156865</v>
      </c>
      <c r="AW13">
        <v>4</v>
      </c>
      <c r="AX13" s="3">
        <f t="shared" si="23"/>
        <v>6.3492063492063489E-2</v>
      </c>
      <c r="AY13">
        <v>4</v>
      </c>
      <c r="AZ13" s="3">
        <f t="shared" si="24"/>
        <v>4.9382716049382713E-2</v>
      </c>
      <c r="BA13">
        <v>7</v>
      </c>
      <c r="BB13" s="3">
        <f t="shared" si="25"/>
        <v>9.2105263157894732E-2</v>
      </c>
      <c r="BC13">
        <v>10</v>
      </c>
      <c r="BD13" s="3">
        <f t="shared" si="26"/>
        <v>2.2831050228310501E-2</v>
      </c>
      <c r="BE13">
        <v>10</v>
      </c>
      <c r="BF13" s="3">
        <f t="shared" si="27"/>
        <v>0.21739130434782608</v>
      </c>
      <c r="BG13">
        <v>105700</v>
      </c>
      <c r="BH13" s="3">
        <f t="shared" si="28"/>
        <v>1.0454995054401582E-2</v>
      </c>
      <c r="BI13">
        <v>1315000</v>
      </c>
      <c r="BJ13" s="3">
        <f t="shared" si="29"/>
        <v>6.9210526315789472E-2</v>
      </c>
      <c r="BK13">
        <v>544500000</v>
      </c>
      <c r="BL13" s="3">
        <f t="shared" si="30"/>
        <v>1.815E-3</v>
      </c>
      <c r="BM13">
        <v>25600000</v>
      </c>
      <c r="BN13" s="3">
        <f t="shared" si="31"/>
        <v>3.1765727757786327E-2</v>
      </c>
      <c r="BO13">
        <v>681</v>
      </c>
      <c r="BP13" s="3">
        <f t="shared" si="32"/>
        <v>0.1061905504444098</v>
      </c>
      <c r="BQ13">
        <v>9</v>
      </c>
      <c r="BR13" s="3">
        <f t="shared" si="33"/>
        <v>0.375</v>
      </c>
      <c r="BS13">
        <v>487700</v>
      </c>
      <c r="BT13" s="3">
        <f t="shared" si="34"/>
        <v>7.4044159286795488E-2</v>
      </c>
      <c r="BU13">
        <v>20255</v>
      </c>
      <c r="BV13" s="3">
        <f t="shared" si="35"/>
        <v>9.0105519769386813E-2</v>
      </c>
      <c r="BW13">
        <v>129</v>
      </c>
      <c r="BX13" s="3">
        <f t="shared" si="36"/>
        <v>9.5463627617849486E-3</v>
      </c>
      <c r="BY13">
        <v>34000</v>
      </c>
      <c r="BZ13" s="3">
        <f t="shared" si="37"/>
        <v>5.7842803674719293E-2</v>
      </c>
      <c r="CA13" s="1">
        <v>2444000</v>
      </c>
      <c r="CB13">
        <v>130600</v>
      </c>
      <c r="CC13" s="3">
        <f t="shared" si="38"/>
        <v>4.2238033635187584E-2</v>
      </c>
      <c r="CD13">
        <v>2221000</v>
      </c>
      <c r="CE13" s="3">
        <f t="shared" si="39"/>
        <v>0.10441937000470146</v>
      </c>
      <c r="CF13" s="2">
        <v>301340</v>
      </c>
      <c r="CG13" s="3">
        <f t="shared" si="40"/>
        <v>0.98237596590339527</v>
      </c>
      <c r="CH13" s="2">
        <v>7600</v>
      </c>
      <c r="CI13" s="3">
        <f t="shared" si="41"/>
        <v>0.96239113222486139</v>
      </c>
      <c r="CJ13" s="2">
        <v>1836</v>
      </c>
      <c r="CK13" s="3">
        <f t="shared" si="42"/>
        <v>0.91824375473126418</v>
      </c>
      <c r="CL13" s="1">
        <v>2400</v>
      </c>
    </row>
    <row r="14" spans="1:90" x14ac:dyDescent="0.3">
      <c r="A14" t="s">
        <v>69</v>
      </c>
      <c r="B14" t="s">
        <v>70</v>
      </c>
      <c r="C14">
        <v>12</v>
      </c>
      <c r="D14" s="9">
        <f t="shared" si="1"/>
        <v>6</v>
      </c>
      <c r="E14" s="9">
        <f t="shared" si="0"/>
        <v>9.7133478367732824</v>
      </c>
      <c r="F14" s="1">
        <v>50924172</v>
      </c>
      <c r="G14">
        <v>25610000</v>
      </c>
      <c r="H14" s="3">
        <f t="shared" si="2"/>
        <v>3.4146666666666665E-2</v>
      </c>
      <c r="I14">
        <v>21035000</v>
      </c>
      <c r="J14" s="3">
        <f t="shared" si="3"/>
        <v>3.3982229402261713E-2</v>
      </c>
      <c r="K14">
        <v>690000</v>
      </c>
      <c r="L14" s="3">
        <f t="shared" si="4"/>
        <v>3.0131004366812226E-2</v>
      </c>
      <c r="M14">
        <v>5829750</v>
      </c>
      <c r="N14" s="3">
        <f t="shared" si="5"/>
        <v>0.90453840186190848</v>
      </c>
      <c r="O14">
        <v>627500</v>
      </c>
      <c r="P14" s="3">
        <f t="shared" si="6"/>
        <v>0.27765486725663718</v>
      </c>
      <c r="Q14">
        <v>5202250</v>
      </c>
      <c r="R14" s="3">
        <f t="shared" si="7"/>
        <v>0.94586363636363635</v>
      </c>
      <c r="S14">
        <v>1477</v>
      </c>
      <c r="T14" s="3">
        <f t="shared" si="8"/>
        <v>0.10732451678535096</v>
      </c>
      <c r="U14">
        <v>406</v>
      </c>
      <c r="V14" s="3">
        <f t="shared" si="9"/>
        <v>0.17682926829268292</v>
      </c>
      <c r="W14">
        <v>448</v>
      </c>
      <c r="X14" s="3">
        <f t="shared" si="10"/>
        <v>0.16086175942549372</v>
      </c>
      <c r="Y14">
        <v>348</v>
      </c>
      <c r="Z14" s="3">
        <f t="shared" si="11"/>
        <v>6.0637741766858336E-2</v>
      </c>
      <c r="AA14">
        <v>273</v>
      </c>
      <c r="AB14" s="3">
        <f t="shared" si="12"/>
        <v>9.643235605793006E-2</v>
      </c>
      <c r="AC14">
        <v>709</v>
      </c>
      <c r="AD14" s="3">
        <f t="shared" si="13"/>
        <v>0.1169002473206925</v>
      </c>
      <c r="AE14">
        <v>81</v>
      </c>
      <c r="AF14" s="3">
        <f t="shared" si="14"/>
        <v>8.5533262935586066E-2</v>
      </c>
      <c r="AG14">
        <v>2654</v>
      </c>
      <c r="AH14" s="3">
        <f t="shared" si="15"/>
        <v>0.13128215275029678</v>
      </c>
      <c r="AI14">
        <v>2660</v>
      </c>
      <c r="AJ14" s="3">
        <f t="shared" si="16"/>
        <v>6.4780088646437098E-2</v>
      </c>
      <c r="AK14">
        <v>1990</v>
      </c>
      <c r="AL14" s="3">
        <f t="shared" si="17"/>
        <v>0.33322170127260548</v>
      </c>
      <c r="AM14">
        <v>5374</v>
      </c>
      <c r="AN14" s="3">
        <f t="shared" si="18"/>
        <v>0.72484488804963587</v>
      </c>
      <c r="AO14">
        <v>214</v>
      </c>
      <c r="AP14" s="3">
        <f t="shared" si="19"/>
        <v>5.6419720537832847E-2</v>
      </c>
      <c r="AQ14">
        <v>166</v>
      </c>
      <c r="AR14" s="3">
        <f t="shared" si="20"/>
        <v>0.17166494312306102</v>
      </c>
      <c r="AS14">
        <v>1</v>
      </c>
      <c r="AT14" s="3">
        <f t="shared" si="21"/>
        <v>5.2631578947368418E-2</v>
      </c>
      <c r="AU14">
        <v>13</v>
      </c>
      <c r="AV14" s="3">
        <f t="shared" si="22"/>
        <v>0.25490196078431371</v>
      </c>
      <c r="AW14">
        <v>12</v>
      </c>
      <c r="AX14" s="3">
        <f t="shared" si="23"/>
        <v>0.19047619047619047</v>
      </c>
      <c r="AY14">
        <v>16</v>
      </c>
      <c r="AZ14" s="3">
        <f t="shared" si="24"/>
        <v>0.19753086419753085</v>
      </c>
      <c r="BA14">
        <v>15</v>
      </c>
      <c r="BB14" s="3">
        <f t="shared" si="25"/>
        <v>0.19736842105263158</v>
      </c>
      <c r="BC14">
        <v>70</v>
      </c>
      <c r="BD14" s="3">
        <f t="shared" si="26"/>
        <v>0.15981735159817351</v>
      </c>
      <c r="BE14">
        <v>11</v>
      </c>
      <c r="BF14" s="3">
        <f t="shared" si="27"/>
        <v>0.2391304347826087</v>
      </c>
      <c r="BG14">
        <v>500</v>
      </c>
      <c r="BH14" s="3">
        <f t="shared" si="28"/>
        <v>4.9455984174085062E-5</v>
      </c>
      <c r="BI14">
        <v>2325000</v>
      </c>
      <c r="BJ14" s="3">
        <f t="shared" si="29"/>
        <v>0.12236842105263158</v>
      </c>
      <c r="BK14">
        <v>0</v>
      </c>
      <c r="BL14" s="3">
        <f t="shared" si="30"/>
        <v>0</v>
      </c>
      <c r="BM14">
        <v>27250000</v>
      </c>
      <c r="BN14" s="3">
        <f t="shared" si="31"/>
        <v>3.3813128179674898E-2</v>
      </c>
      <c r="BO14">
        <v>786</v>
      </c>
      <c r="BP14" s="3">
        <f t="shared" si="32"/>
        <v>0.12256354280368002</v>
      </c>
      <c r="BQ14">
        <v>8</v>
      </c>
      <c r="BR14" s="3">
        <f t="shared" si="33"/>
        <v>0.33333333333333331</v>
      </c>
      <c r="BS14">
        <v>103029</v>
      </c>
      <c r="BT14" s="3">
        <f t="shared" si="34"/>
        <v>1.5642189229360778E-2</v>
      </c>
      <c r="BU14">
        <v>3381</v>
      </c>
      <c r="BV14" s="3">
        <f t="shared" si="35"/>
        <v>1.5040570838819886E-2</v>
      </c>
      <c r="BW14">
        <v>111</v>
      </c>
      <c r="BX14" s="3">
        <f t="shared" si="36"/>
        <v>8.2143121438614675E-3</v>
      </c>
      <c r="BY14">
        <v>43800</v>
      </c>
      <c r="BZ14" s="3">
        <f t="shared" si="37"/>
        <v>7.451514120449132E-2</v>
      </c>
      <c r="CA14" s="1">
        <v>385600</v>
      </c>
      <c r="CB14">
        <v>372700</v>
      </c>
      <c r="CC14" s="3">
        <f t="shared" si="38"/>
        <v>0.12053686934023286</v>
      </c>
      <c r="CD14">
        <v>1929000</v>
      </c>
      <c r="CE14" s="3">
        <f t="shared" si="39"/>
        <v>9.069111424541608E-2</v>
      </c>
      <c r="CF14" s="2">
        <v>99720</v>
      </c>
      <c r="CG14" s="3">
        <f t="shared" si="40"/>
        <v>0.99416782146375049</v>
      </c>
      <c r="CH14" s="2">
        <v>2413</v>
      </c>
      <c r="CI14" s="3">
        <f t="shared" si="41"/>
        <v>0.98805918448139352</v>
      </c>
      <c r="CJ14" s="2">
        <v>237</v>
      </c>
      <c r="CK14" s="3">
        <f t="shared" si="42"/>
        <v>0.98944649775125793</v>
      </c>
      <c r="CL14" s="1">
        <v>1600</v>
      </c>
    </row>
    <row r="15" spans="1:90" x14ac:dyDescent="0.3">
      <c r="A15" t="s">
        <v>71</v>
      </c>
      <c r="B15" t="s">
        <v>72</v>
      </c>
      <c r="C15">
        <v>13</v>
      </c>
      <c r="D15" s="9">
        <f t="shared" si="1"/>
        <v>18</v>
      </c>
      <c r="E15" s="9">
        <f t="shared" si="0"/>
        <v>5.8281491266148482</v>
      </c>
      <c r="F15" s="1">
        <v>201995540</v>
      </c>
      <c r="G15">
        <v>95000000</v>
      </c>
      <c r="H15" s="3">
        <f t="shared" si="2"/>
        <v>0.12666666666666668</v>
      </c>
      <c r="I15">
        <v>75325000</v>
      </c>
      <c r="J15" s="3">
        <f t="shared" si="3"/>
        <v>0.12168820678513732</v>
      </c>
      <c r="K15">
        <v>4345000</v>
      </c>
      <c r="L15" s="3">
        <f t="shared" si="4"/>
        <v>0.18973799126637556</v>
      </c>
      <c r="M15">
        <v>919000</v>
      </c>
      <c r="N15" s="3">
        <f t="shared" si="5"/>
        <v>0.14259115593483321</v>
      </c>
      <c r="O15">
        <v>637000</v>
      </c>
      <c r="P15" s="3">
        <f t="shared" si="6"/>
        <v>0.28185840707964605</v>
      </c>
      <c r="Q15">
        <v>282000</v>
      </c>
      <c r="R15" s="3">
        <f t="shared" si="7"/>
        <v>5.1272727272727275E-2</v>
      </c>
      <c r="S15">
        <v>951</v>
      </c>
      <c r="T15" s="3">
        <f t="shared" si="8"/>
        <v>6.910332800465048E-2</v>
      </c>
      <c r="U15">
        <v>301</v>
      </c>
      <c r="V15" s="3">
        <f t="shared" si="9"/>
        <v>0.13109756097560976</v>
      </c>
      <c r="W15">
        <v>394</v>
      </c>
      <c r="X15" s="3">
        <f t="shared" si="10"/>
        <v>0.14147217235188511</v>
      </c>
      <c r="Y15">
        <v>261</v>
      </c>
      <c r="Z15" s="3">
        <f t="shared" si="11"/>
        <v>4.5478306325143755E-2</v>
      </c>
      <c r="AA15">
        <v>190</v>
      </c>
      <c r="AB15" s="3">
        <f t="shared" si="12"/>
        <v>6.7114093959731544E-2</v>
      </c>
      <c r="AC15">
        <v>316</v>
      </c>
      <c r="AD15" s="3">
        <f t="shared" si="13"/>
        <v>5.2102225886232478E-2</v>
      </c>
      <c r="AE15">
        <v>52</v>
      </c>
      <c r="AF15" s="3">
        <f t="shared" si="14"/>
        <v>5.4910242872228086E-2</v>
      </c>
      <c r="AG15">
        <v>2924</v>
      </c>
      <c r="AH15" s="3">
        <f t="shared" si="15"/>
        <v>0.1446379105658884</v>
      </c>
      <c r="AI15">
        <v>2828</v>
      </c>
      <c r="AJ15" s="3">
        <f t="shared" si="16"/>
        <v>6.8871462666212066E-2</v>
      </c>
      <c r="AK15">
        <v>465</v>
      </c>
      <c r="AL15" s="3">
        <f t="shared" si="17"/>
        <v>7.7863362357669122E-2</v>
      </c>
      <c r="AM15">
        <v>3278</v>
      </c>
      <c r="AN15" s="3">
        <f t="shared" si="18"/>
        <v>0.44213649851632048</v>
      </c>
      <c r="AO15">
        <v>134</v>
      </c>
      <c r="AP15" s="3">
        <f t="shared" si="19"/>
        <v>3.5328236224624311E-2</v>
      </c>
      <c r="AQ15">
        <v>197</v>
      </c>
      <c r="AR15" s="3">
        <f t="shared" si="20"/>
        <v>0.20372285418821096</v>
      </c>
      <c r="AS15">
        <v>0</v>
      </c>
      <c r="AT15" s="3">
        <f t="shared" si="21"/>
        <v>0</v>
      </c>
      <c r="AU15">
        <v>10</v>
      </c>
      <c r="AV15" s="3">
        <f t="shared" si="22"/>
        <v>0.19607843137254902</v>
      </c>
      <c r="AW15">
        <v>0</v>
      </c>
      <c r="AX15" s="3">
        <f t="shared" si="23"/>
        <v>0</v>
      </c>
      <c r="AY15">
        <v>0</v>
      </c>
      <c r="AZ15" s="3">
        <f t="shared" si="24"/>
        <v>0</v>
      </c>
      <c r="BA15">
        <v>8</v>
      </c>
      <c r="BB15" s="3">
        <f t="shared" si="25"/>
        <v>0.10526315789473684</v>
      </c>
      <c r="BC15">
        <v>17</v>
      </c>
      <c r="BD15" s="3">
        <f t="shared" si="26"/>
        <v>3.8812785388127852E-2</v>
      </c>
      <c r="BE15">
        <v>3</v>
      </c>
      <c r="BF15" s="3">
        <f t="shared" si="27"/>
        <v>6.5217391304347824E-2</v>
      </c>
      <c r="BG15">
        <v>93630</v>
      </c>
      <c r="BH15" s="3">
        <f t="shared" si="28"/>
        <v>9.2611275964391698E-3</v>
      </c>
      <c r="BI15">
        <v>440000</v>
      </c>
      <c r="BJ15" s="3">
        <f t="shared" si="29"/>
        <v>2.3157894736842106E-2</v>
      </c>
      <c r="BK15">
        <v>400000000</v>
      </c>
      <c r="BL15" s="3">
        <f t="shared" si="30"/>
        <v>1.3333333333333333E-3</v>
      </c>
      <c r="BM15">
        <v>65100000</v>
      </c>
      <c r="BN15" s="3">
        <f t="shared" si="31"/>
        <v>8.0779253009058194E-2</v>
      </c>
      <c r="BO15">
        <v>11</v>
      </c>
      <c r="BP15" s="3">
        <f t="shared" si="32"/>
        <v>1.7152658662092624E-3</v>
      </c>
      <c r="BQ15">
        <v>2</v>
      </c>
      <c r="BR15" s="3">
        <f t="shared" si="33"/>
        <v>8.3333333333333329E-2</v>
      </c>
      <c r="BS15">
        <v>260760</v>
      </c>
      <c r="BT15" s="3">
        <f t="shared" si="34"/>
        <v>3.9589409423056776E-2</v>
      </c>
      <c r="BU15">
        <v>7791</v>
      </c>
      <c r="BV15" s="3">
        <f t="shared" si="35"/>
        <v>3.4658706715541478E-2</v>
      </c>
      <c r="BW15">
        <v>151</v>
      </c>
      <c r="BX15" s="3">
        <f t="shared" si="36"/>
        <v>1.1174424628135868E-2</v>
      </c>
      <c r="BY15">
        <v>7000</v>
      </c>
      <c r="BZ15" s="3">
        <f t="shared" si="37"/>
        <v>1.1908812521265737E-2</v>
      </c>
      <c r="CA15" s="1">
        <v>64040</v>
      </c>
      <c r="CB15">
        <v>20530</v>
      </c>
      <c r="CC15" s="3">
        <f t="shared" si="38"/>
        <v>6.6397153945666233E-3</v>
      </c>
      <c r="CD15">
        <v>988200</v>
      </c>
      <c r="CE15" s="3">
        <f t="shared" si="39"/>
        <v>4.6459802538787023E-2</v>
      </c>
      <c r="CF15" s="2">
        <v>796095</v>
      </c>
      <c r="CG15" s="3">
        <f t="shared" si="40"/>
        <v>0.9534399501422427</v>
      </c>
      <c r="CH15" s="2">
        <v>1046</v>
      </c>
      <c r="CI15" s="3">
        <f t="shared" si="41"/>
        <v>0.99482383214568493</v>
      </c>
      <c r="CJ15" s="2">
        <v>7257</v>
      </c>
      <c r="CK15" s="3">
        <f t="shared" si="42"/>
        <v>0.67684908937079746</v>
      </c>
      <c r="CL15" s="1">
        <v>25220</v>
      </c>
    </row>
    <row r="16" spans="1:90" x14ac:dyDescent="0.3">
      <c r="A16" t="s">
        <v>73</v>
      </c>
      <c r="B16" t="s">
        <v>74</v>
      </c>
      <c r="C16">
        <v>14</v>
      </c>
      <c r="D16" s="9">
        <f t="shared" si="1"/>
        <v>16</v>
      </c>
      <c r="E16" s="9">
        <f t="shared" si="0"/>
        <v>6.1141412789141336</v>
      </c>
      <c r="F16" s="1">
        <v>258316051</v>
      </c>
      <c r="G16">
        <v>130000000</v>
      </c>
      <c r="H16" s="3">
        <f t="shared" si="2"/>
        <v>0.17333333333333334</v>
      </c>
      <c r="I16">
        <v>107540000</v>
      </c>
      <c r="J16" s="3">
        <f t="shared" si="3"/>
        <v>0.17373182552504038</v>
      </c>
      <c r="K16">
        <v>4500000</v>
      </c>
      <c r="L16" s="3">
        <f t="shared" si="4"/>
        <v>0.1965065502183406</v>
      </c>
      <c r="M16">
        <v>975750</v>
      </c>
      <c r="N16" s="3">
        <f t="shared" si="5"/>
        <v>0.15139643134212569</v>
      </c>
      <c r="O16">
        <v>435750</v>
      </c>
      <c r="P16" s="3">
        <f t="shared" si="6"/>
        <v>0.19280973451327435</v>
      </c>
      <c r="Q16">
        <v>540000</v>
      </c>
      <c r="R16" s="3">
        <f t="shared" si="7"/>
        <v>9.8181818181818176E-2</v>
      </c>
      <c r="S16">
        <v>441</v>
      </c>
      <c r="T16" s="3">
        <f t="shared" si="8"/>
        <v>3.204476093591048E-2</v>
      </c>
      <c r="U16">
        <v>39</v>
      </c>
      <c r="V16" s="3">
        <f t="shared" si="9"/>
        <v>1.6986062717770034E-2</v>
      </c>
      <c r="W16">
        <v>58</v>
      </c>
      <c r="X16" s="3">
        <f t="shared" si="10"/>
        <v>2.082585278276481E-2</v>
      </c>
      <c r="Y16">
        <v>170</v>
      </c>
      <c r="Z16" s="3">
        <f t="shared" si="11"/>
        <v>2.9621885345879072E-2</v>
      </c>
      <c r="AA16">
        <v>111</v>
      </c>
      <c r="AB16" s="3">
        <f t="shared" si="12"/>
        <v>3.9208760155422115E-2</v>
      </c>
      <c r="AC16">
        <v>147</v>
      </c>
      <c r="AD16" s="3">
        <f t="shared" si="13"/>
        <v>2.423742786479802E-2</v>
      </c>
      <c r="AE16">
        <v>5</v>
      </c>
      <c r="AF16" s="3">
        <f t="shared" si="14"/>
        <v>5.279831045406547E-3</v>
      </c>
      <c r="AG16">
        <v>418</v>
      </c>
      <c r="AH16" s="3">
        <f t="shared" si="15"/>
        <v>2.0676691729323307E-2</v>
      </c>
      <c r="AI16">
        <v>1089</v>
      </c>
      <c r="AJ16" s="3">
        <f t="shared" si="16"/>
        <v>2.6520870878184208E-2</v>
      </c>
      <c r="AK16">
        <v>37</v>
      </c>
      <c r="AL16" s="3">
        <f t="shared" si="17"/>
        <v>6.1955793703951777E-3</v>
      </c>
      <c r="AM16">
        <v>80</v>
      </c>
      <c r="AN16" s="3">
        <f t="shared" si="18"/>
        <v>1.0790396547073105E-2</v>
      </c>
      <c r="AO16">
        <v>86</v>
      </c>
      <c r="AP16" s="3">
        <f t="shared" si="19"/>
        <v>2.2673345636699184E-2</v>
      </c>
      <c r="AQ16">
        <v>221</v>
      </c>
      <c r="AR16" s="3">
        <f t="shared" si="20"/>
        <v>0.22854188210961737</v>
      </c>
      <c r="AS16">
        <v>0</v>
      </c>
      <c r="AT16" s="3">
        <f t="shared" si="21"/>
        <v>0</v>
      </c>
      <c r="AU16">
        <v>7</v>
      </c>
      <c r="AV16" s="3">
        <f t="shared" si="22"/>
        <v>0.13725490196078433</v>
      </c>
      <c r="AW16">
        <v>0</v>
      </c>
      <c r="AX16" s="3">
        <f t="shared" si="23"/>
        <v>0</v>
      </c>
      <c r="AY16">
        <v>24</v>
      </c>
      <c r="AZ16" s="3">
        <f t="shared" si="24"/>
        <v>0.29629629629629628</v>
      </c>
      <c r="BA16">
        <v>4</v>
      </c>
      <c r="BB16" s="3">
        <f t="shared" si="25"/>
        <v>5.2631578947368418E-2</v>
      </c>
      <c r="BC16">
        <v>74</v>
      </c>
      <c r="BD16" s="3">
        <f t="shared" si="26"/>
        <v>0.16894977168949771</v>
      </c>
      <c r="BE16">
        <v>12</v>
      </c>
      <c r="BF16" s="3">
        <f t="shared" si="27"/>
        <v>0.2608695652173913</v>
      </c>
      <c r="BG16">
        <v>789800</v>
      </c>
      <c r="BH16" s="3">
        <f t="shared" si="28"/>
        <v>7.8120672601384764E-2</v>
      </c>
      <c r="BI16">
        <v>1660000</v>
      </c>
      <c r="BJ16" s="3">
        <f t="shared" si="29"/>
        <v>8.7368421052631581E-2</v>
      </c>
      <c r="BK16">
        <v>3693000000</v>
      </c>
      <c r="BL16" s="3">
        <f t="shared" si="30"/>
        <v>1.231E-2</v>
      </c>
      <c r="BM16">
        <v>123700000</v>
      </c>
      <c r="BN16" s="3">
        <f t="shared" si="31"/>
        <v>0.15349298920461596</v>
      </c>
      <c r="BO16">
        <v>1340</v>
      </c>
      <c r="BP16" s="3">
        <f t="shared" si="32"/>
        <v>0.20895056915640106</v>
      </c>
      <c r="BQ16">
        <v>9</v>
      </c>
      <c r="BR16" s="3">
        <f t="shared" si="33"/>
        <v>0.375</v>
      </c>
      <c r="BS16">
        <v>437759</v>
      </c>
      <c r="BT16" s="3">
        <f t="shared" si="34"/>
        <v>6.6461958427779994E-2</v>
      </c>
      <c r="BU16">
        <v>5042</v>
      </c>
      <c r="BV16" s="3">
        <f t="shared" si="35"/>
        <v>2.2429623830029537E-2</v>
      </c>
      <c r="BW16">
        <v>673</v>
      </c>
      <c r="BX16" s="3">
        <f t="shared" si="36"/>
        <v>4.9803892547916818E-2</v>
      </c>
      <c r="BY16">
        <v>6900</v>
      </c>
      <c r="BZ16" s="3">
        <f t="shared" si="37"/>
        <v>1.1738686628104797E-2</v>
      </c>
      <c r="CA16" s="1">
        <v>344700</v>
      </c>
      <c r="CB16">
        <v>106400</v>
      </c>
      <c r="CC16" s="3">
        <f t="shared" si="38"/>
        <v>3.4411384217335056E-2</v>
      </c>
      <c r="CD16">
        <v>3028000</v>
      </c>
      <c r="CE16" s="3">
        <f t="shared" si="39"/>
        <v>0.14236013164080866</v>
      </c>
      <c r="CF16" s="2">
        <v>1904569</v>
      </c>
      <c r="CG16" s="3">
        <f t="shared" si="40"/>
        <v>0.88861024425785995</v>
      </c>
      <c r="CH16" s="2">
        <v>54716</v>
      </c>
      <c r="CI16" s="3">
        <f t="shared" si="41"/>
        <v>0.7292359461599367</v>
      </c>
      <c r="CJ16" s="2">
        <v>2958</v>
      </c>
      <c r="CK16" s="3">
        <f t="shared" si="42"/>
        <v>0.86828160484481454</v>
      </c>
      <c r="CL16" s="1">
        <v>21579</v>
      </c>
    </row>
    <row r="17" spans="1:90" x14ac:dyDescent="0.3">
      <c r="A17" t="s">
        <v>75</v>
      </c>
      <c r="B17" t="s">
        <v>76</v>
      </c>
      <c r="C17">
        <v>15</v>
      </c>
      <c r="D17" s="9">
        <f t="shared" si="1"/>
        <v>31</v>
      </c>
      <c r="E17" s="9">
        <f t="shared" si="0"/>
        <v>4.724162031172713</v>
      </c>
      <c r="F17" s="1">
        <v>8174527</v>
      </c>
      <c r="G17">
        <v>3600000</v>
      </c>
      <c r="H17" s="3">
        <f t="shared" si="2"/>
        <v>4.7999999999999996E-3</v>
      </c>
      <c r="I17">
        <v>3000000</v>
      </c>
      <c r="J17" s="3">
        <f t="shared" si="3"/>
        <v>4.8465266558966073E-3</v>
      </c>
      <c r="K17">
        <v>122000</v>
      </c>
      <c r="L17" s="3">
        <f t="shared" si="4"/>
        <v>5.3275109170305675E-3</v>
      </c>
      <c r="M17">
        <v>718250</v>
      </c>
      <c r="N17" s="3">
        <f t="shared" si="5"/>
        <v>0.11144297905352987</v>
      </c>
      <c r="O17">
        <v>168250</v>
      </c>
      <c r="P17" s="3">
        <f t="shared" si="6"/>
        <v>7.4446902654867253E-2</v>
      </c>
      <c r="Q17">
        <v>550000</v>
      </c>
      <c r="R17" s="3">
        <f t="shared" si="7"/>
        <v>0.1</v>
      </c>
      <c r="S17">
        <v>652</v>
      </c>
      <c r="T17" s="3">
        <f t="shared" si="8"/>
        <v>4.7376834762389186E-2</v>
      </c>
      <c r="U17">
        <v>243</v>
      </c>
      <c r="V17" s="3">
        <f t="shared" si="9"/>
        <v>0.10583623693379791</v>
      </c>
      <c r="W17">
        <v>243</v>
      </c>
      <c r="X17" s="3">
        <f t="shared" si="10"/>
        <v>8.7253141831238779E-2</v>
      </c>
      <c r="Y17">
        <v>101</v>
      </c>
      <c r="Z17" s="3">
        <f t="shared" si="11"/>
        <v>1.7598884823139919E-2</v>
      </c>
      <c r="AA17">
        <v>219</v>
      </c>
      <c r="AB17" s="3">
        <f t="shared" si="12"/>
        <v>7.7357824090427407E-2</v>
      </c>
      <c r="AC17">
        <v>143</v>
      </c>
      <c r="AD17" s="3">
        <f t="shared" si="13"/>
        <v>2.3577906018136852E-2</v>
      </c>
      <c r="AE17">
        <v>48</v>
      </c>
      <c r="AF17" s="3">
        <f t="shared" si="14"/>
        <v>5.0686378035902854E-2</v>
      </c>
      <c r="AG17">
        <v>2620</v>
      </c>
      <c r="AH17" s="3">
        <f t="shared" si="15"/>
        <v>0.12960031658092599</v>
      </c>
      <c r="AI17">
        <v>10185</v>
      </c>
      <c r="AJ17" s="3">
        <f t="shared" si="16"/>
        <v>0.24803954994885782</v>
      </c>
      <c r="AK17">
        <v>650</v>
      </c>
      <c r="AL17" s="3">
        <f t="shared" si="17"/>
        <v>0.10884125920964501</v>
      </c>
      <c r="AM17">
        <v>300</v>
      </c>
      <c r="AN17" s="3">
        <f t="shared" si="18"/>
        <v>4.0463987051524146E-2</v>
      </c>
      <c r="AO17">
        <v>48</v>
      </c>
      <c r="AP17" s="3">
        <f t="shared" si="19"/>
        <v>1.2654890587925125E-2</v>
      </c>
      <c r="AQ17">
        <v>65</v>
      </c>
      <c r="AR17" s="3">
        <f t="shared" si="20"/>
        <v>6.7218200620475704E-2</v>
      </c>
      <c r="AS17">
        <v>0</v>
      </c>
      <c r="AT17" s="3">
        <f t="shared" si="21"/>
        <v>0</v>
      </c>
      <c r="AU17">
        <v>0</v>
      </c>
      <c r="AV17" s="3">
        <f t="shared" si="22"/>
        <v>0</v>
      </c>
      <c r="AW17">
        <v>0</v>
      </c>
      <c r="AX17" s="3">
        <f t="shared" si="23"/>
        <v>0</v>
      </c>
      <c r="AY17">
        <v>3</v>
      </c>
      <c r="AZ17" s="3">
        <f t="shared" si="24"/>
        <v>3.7037037037037035E-2</v>
      </c>
      <c r="BA17">
        <v>6</v>
      </c>
      <c r="BB17" s="3">
        <f t="shared" si="25"/>
        <v>7.8947368421052627E-2</v>
      </c>
      <c r="BC17">
        <v>32</v>
      </c>
      <c r="BD17" s="3">
        <f t="shared" si="26"/>
        <v>7.3059360730593603E-2</v>
      </c>
      <c r="BE17">
        <v>0</v>
      </c>
      <c r="BF17" s="3">
        <f t="shared" si="27"/>
        <v>0</v>
      </c>
      <c r="BG17">
        <v>400</v>
      </c>
      <c r="BH17" s="3">
        <f t="shared" si="28"/>
        <v>3.9564787339268051E-5</v>
      </c>
      <c r="BI17">
        <v>240000</v>
      </c>
      <c r="BJ17" s="3">
        <f t="shared" si="29"/>
        <v>1.2631578947368421E-2</v>
      </c>
      <c r="BK17">
        <v>13950000</v>
      </c>
      <c r="BL17" s="3">
        <f t="shared" si="30"/>
        <v>4.6499999999999999E-5</v>
      </c>
      <c r="BM17">
        <v>3927000</v>
      </c>
      <c r="BN17" s="3">
        <f t="shared" si="31"/>
        <v>4.872813004094801E-3</v>
      </c>
      <c r="BO17">
        <v>8</v>
      </c>
      <c r="BP17" s="3">
        <f t="shared" si="32"/>
        <v>1.2474660845158273E-3</v>
      </c>
      <c r="BQ17">
        <v>4</v>
      </c>
      <c r="BR17" s="3">
        <f t="shared" si="33"/>
        <v>0.16666666666666666</v>
      </c>
      <c r="BS17">
        <v>18290</v>
      </c>
      <c r="BT17" s="3">
        <f t="shared" si="34"/>
        <v>2.7768457522154796E-3</v>
      </c>
      <c r="BU17">
        <v>975</v>
      </c>
      <c r="BV17" s="3">
        <f t="shared" si="35"/>
        <v>4.3373429659418483E-3</v>
      </c>
      <c r="BW17">
        <v>47</v>
      </c>
      <c r="BX17" s="3">
        <f t="shared" si="36"/>
        <v>3.4781321690224229E-3</v>
      </c>
      <c r="BY17">
        <v>15500</v>
      </c>
      <c r="BZ17" s="3">
        <f t="shared" si="37"/>
        <v>2.636951343994556E-2</v>
      </c>
      <c r="CA17" s="1">
        <v>91080</v>
      </c>
      <c r="CB17">
        <v>97220</v>
      </c>
      <c r="CC17" s="3">
        <f t="shared" si="38"/>
        <v>3.1442432082794305E-2</v>
      </c>
      <c r="CD17">
        <v>297000</v>
      </c>
      <c r="CE17" s="3">
        <f t="shared" si="39"/>
        <v>1.3963328631875882E-2</v>
      </c>
      <c r="CF17" s="2">
        <v>20770</v>
      </c>
      <c r="CG17" s="3">
        <f t="shared" si="40"/>
        <v>0.99878525523267248</v>
      </c>
      <c r="CH17" s="2">
        <v>273</v>
      </c>
      <c r="CI17" s="3">
        <f t="shared" si="41"/>
        <v>0.99864904988123515</v>
      </c>
      <c r="CJ17" s="2">
        <v>1068</v>
      </c>
      <c r="CK17" s="3">
        <f t="shared" si="42"/>
        <v>0.9524424455626308</v>
      </c>
      <c r="CL17" s="1" t="s">
        <v>77</v>
      </c>
    </row>
    <row r="18" spans="1:90" x14ac:dyDescent="0.3">
      <c r="A18" t="s">
        <v>78</v>
      </c>
      <c r="B18" t="s">
        <v>79</v>
      </c>
      <c r="C18">
        <v>16</v>
      </c>
      <c r="D18" s="9">
        <f t="shared" si="1"/>
        <v>10</v>
      </c>
      <c r="E18" s="9">
        <f t="shared" si="0"/>
        <v>7.1603819250999576</v>
      </c>
      <c r="F18" s="1">
        <v>95261021</v>
      </c>
      <c r="G18">
        <v>50650000</v>
      </c>
      <c r="H18" s="3">
        <f t="shared" si="2"/>
        <v>6.7533333333333334E-2</v>
      </c>
      <c r="I18">
        <v>41505000</v>
      </c>
      <c r="J18" s="3">
        <f t="shared" si="3"/>
        <v>6.7051696284329568E-2</v>
      </c>
      <c r="K18">
        <v>1640000</v>
      </c>
      <c r="L18" s="3">
        <f t="shared" si="4"/>
        <v>7.1615720524017462E-2</v>
      </c>
      <c r="M18">
        <v>5488500</v>
      </c>
      <c r="N18" s="3">
        <f t="shared" si="5"/>
        <v>0.85159038013964317</v>
      </c>
      <c r="O18">
        <v>448500</v>
      </c>
      <c r="P18" s="3">
        <f t="shared" si="6"/>
        <v>0.19845132743362831</v>
      </c>
      <c r="Q18">
        <v>5040000</v>
      </c>
      <c r="R18" s="3">
        <f t="shared" si="7"/>
        <v>0.91636363636363638</v>
      </c>
      <c r="S18">
        <v>278</v>
      </c>
      <c r="T18" s="3">
        <f t="shared" si="8"/>
        <v>2.020055224531318E-2</v>
      </c>
      <c r="U18">
        <v>76</v>
      </c>
      <c r="V18" s="3">
        <f t="shared" si="9"/>
        <v>3.3101045296167246E-2</v>
      </c>
      <c r="W18">
        <v>73</v>
      </c>
      <c r="X18" s="3">
        <f t="shared" si="10"/>
        <v>2.6211849192100539E-2</v>
      </c>
      <c r="Y18">
        <v>161</v>
      </c>
      <c r="Z18" s="3">
        <f t="shared" si="11"/>
        <v>2.8053667886391357E-2</v>
      </c>
      <c r="AA18">
        <v>25</v>
      </c>
      <c r="AB18" s="3">
        <f t="shared" si="12"/>
        <v>8.8308018368067828E-3</v>
      </c>
      <c r="AC18">
        <v>137</v>
      </c>
      <c r="AD18" s="3">
        <f t="shared" si="13"/>
        <v>2.2588623248145093E-2</v>
      </c>
      <c r="AE18">
        <v>25</v>
      </c>
      <c r="AF18" s="3">
        <f t="shared" si="14"/>
        <v>2.6399155227032733E-2</v>
      </c>
      <c r="AG18">
        <v>1545</v>
      </c>
      <c r="AH18" s="3">
        <f t="shared" si="15"/>
        <v>7.6424614166996432E-2</v>
      </c>
      <c r="AI18">
        <v>3150</v>
      </c>
      <c r="AJ18" s="3">
        <f t="shared" si="16"/>
        <v>7.6713262870780771E-2</v>
      </c>
      <c r="AK18">
        <v>524</v>
      </c>
      <c r="AL18" s="3">
        <f t="shared" si="17"/>
        <v>8.7742799732083057E-2</v>
      </c>
      <c r="AM18">
        <v>2200</v>
      </c>
      <c r="AN18" s="3">
        <f t="shared" si="18"/>
        <v>0.29673590504451036</v>
      </c>
      <c r="AO18">
        <v>1100</v>
      </c>
      <c r="AP18" s="3">
        <f t="shared" si="19"/>
        <v>0.29000790930661746</v>
      </c>
      <c r="AQ18">
        <v>65</v>
      </c>
      <c r="AR18" s="3">
        <f t="shared" si="20"/>
        <v>6.7218200620475704E-2</v>
      </c>
      <c r="AS18">
        <v>0</v>
      </c>
      <c r="AT18" s="3">
        <f t="shared" si="21"/>
        <v>0</v>
      </c>
      <c r="AU18">
        <v>7</v>
      </c>
      <c r="AV18" s="3">
        <f t="shared" si="22"/>
        <v>0.13725490196078433</v>
      </c>
      <c r="AW18">
        <v>0</v>
      </c>
      <c r="AX18" s="3">
        <f t="shared" si="23"/>
        <v>0</v>
      </c>
      <c r="AY18">
        <v>13</v>
      </c>
      <c r="AZ18" s="3">
        <f t="shared" si="24"/>
        <v>0.16049382716049382</v>
      </c>
      <c r="BA18">
        <v>6</v>
      </c>
      <c r="BB18" s="3">
        <f t="shared" si="25"/>
        <v>7.8947368421052627E-2</v>
      </c>
      <c r="BC18">
        <v>25</v>
      </c>
      <c r="BD18" s="3">
        <f t="shared" si="26"/>
        <v>5.7077625570776253E-2</v>
      </c>
      <c r="BE18">
        <v>8</v>
      </c>
      <c r="BF18" s="3">
        <f t="shared" si="27"/>
        <v>0.17391304347826086</v>
      </c>
      <c r="BG18">
        <v>298400</v>
      </c>
      <c r="BH18" s="3">
        <f t="shared" si="28"/>
        <v>2.9515331355093967E-2</v>
      </c>
      <c r="BI18">
        <v>415000</v>
      </c>
      <c r="BJ18" s="3">
        <f t="shared" si="29"/>
        <v>2.1842105263157895E-2</v>
      </c>
      <c r="BK18">
        <v>4400000000</v>
      </c>
      <c r="BL18" s="3">
        <f t="shared" si="30"/>
        <v>1.4666666666666666E-2</v>
      </c>
      <c r="BM18">
        <v>54930000</v>
      </c>
      <c r="BN18" s="3">
        <f t="shared" si="31"/>
        <v>6.8159821317781366E-2</v>
      </c>
      <c r="BO18">
        <v>579</v>
      </c>
      <c r="BP18" s="3">
        <f t="shared" si="32"/>
        <v>9.0285357866832991E-2</v>
      </c>
      <c r="BQ18">
        <v>6</v>
      </c>
      <c r="BR18" s="3">
        <f t="shared" si="33"/>
        <v>0.25</v>
      </c>
      <c r="BS18">
        <v>180549</v>
      </c>
      <c r="BT18" s="3">
        <f t="shared" si="34"/>
        <v>2.7411521252966246E-2</v>
      </c>
      <c r="BU18">
        <v>2632</v>
      </c>
      <c r="BV18" s="3">
        <f t="shared" si="35"/>
        <v>1.1708601729598919E-2</v>
      </c>
      <c r="BW18">
        <v>45</v>
      </c>
      <c r="BX18" s="3">
        <f t="shared" si="36"/>
        <v>3.3301265448087026E-3</v>
      </c>
      <c r="BY18">
        <v>3365</v>
      </c>
      <c r="BZ18" s="3">
        <f t="shared" si="37"/>
        <v>5.7247363048656009E-3</v>
      </c>
      <c r="CA18" s="1">
        <v>78880</v>
      </c>
      <c r="CB18">
        <v>34660</v>
      </c>
      <c r="CC18" s="3">
        <f t="shared" si="38"/>
        <v>1.1209573091849936E-2</v>
      </c>
      <c r="CD18">
        <v>594900</v>
      </c>
      <c r="CE18" s="3">
        <f t="shared" si="39"/>
        <v>2.7968970380818053E-2</v>
      </c>
      <c r="CF18" s="2">
        <v>331210</v>
      </c>
      <c r="CG18" s="3">
        <f t="shared" si="40"/>
        <v>0.98062900267758524</v>
      </c>
      <c r="CH18" s="2">
        <v>3444</v>
      </c>
      <c r="CI18" s="3">
        <f t="shared" si="41"/>
        <v>0.98295724465558199</v>
      </c>
      <c r="CJ18" s="2">
        <v>4616</v>
      </c>
      <c r="CK18" s="3">
        <f t="shared" si="42"/>
        <v>0.79445161864897362</v>
      </c>
      <c r="CL18" s="1">
        <v>17702</v>
      </c>
    </row>
    <row r="19" spans="1:90" x14ac:dyDescent="0.3">
      <c r="A19" t="s">
        <v>80</v>
      </c>
      <c r="B19" t="s">
        <v>81</v>
      </c>
      <c r="C19">
        <v>17</v>
      </c>
      <c r="D19" s="9">
        <f t="shared" si="1"/>
        <v>14</v>
      </c>
      <c r="E19" s="9">
        <f t="shared" si="0"/>
        <v>6.2572404530209313</v>
      </c>
      <c r="F19" s="1">
        <v>205823665</v>
      </c>
      <c r="G19">
        <v>107000000</v>
      </c>
      <c r="H19" s="3">
        <f t="shared" si="2"/>
        <v>0.14266666666666666</v>
      </c>
      <c r="I19">
        <v>84000000</v>
      </c>
      <c r="J19" s="3">
        <f t="shared" si="3"/>
        <v>0.13570274636510501</v>
      </c>
      <c r="K19">
        <v>3410000</v>
      </c>
      <c r="L19" s="3">
        <f t="shared" si="4"/>
        <v>0.14890829694323143</v>
      </c>
      <c r="M19">
        <v>1987000</v>
      </c>
      <c r="N19" s="3">
        <f t="shared" si="5"/>
        <v>0.30830100853374709</v>
      </c>
      <c r="O19">
        <v>334500</v>
      </c>
      <c r="P19" s="3">
        <f t="shared" si="6"/>
        <v>0.14800884955752214</v>
      </c>
      <c r="Q19">
        <v>1652500</v>
      </c>
      <c r="R19" s="3">
        <f t="shared" si="7"/>
        <v>0.30045454545454547</v>
      </c>
      <c r="S19">
        <v>697</v>
      </c>
      <c r="T19" s="3">
        <f t="shared" si="8"/>
        <v>5.0646708327278009E-2</v>
      </c>
      <c r="U19">
        <v>43</v>
      </c>
      <c r="V19" s="3">
        <f t="shared" si="9"/>
        <v>1.8728222996515678E-2</v>
      </c>
      <c r="W19">
        <v>121</v>
      </c>
      <c r="X19" s="3">
        <f t="shared" si="10"/>
        <v>4.3447037701974868E-2</v>
      </c>
      <c r="Y19">
        <v>369</v>
      </c>
      <c r="Z19" s="3">
        <f t="shared" si="11"/>
        <v>6.4296915838996341E-2</v>
      </c>
      <c r="AA19">
        <v>175</v>
      </c>
      <c r="AB19" s="3">
        <f t="shared" si="12"/>
        <v>6.1815612857647473E-2</v>
      </c>
      <c r="AC19">
        <v>230</v>
      </c>
      <c r="AD19" s="3">
        <f t="shared" si="13"/>
        <v>3.7922506183017311E-2</v>
      </c>
      <c r="AE19">
        <v>12</v>
      </c>
      <c r="AF19" s="3">
        <f t="shared" si="14"/>
        <v>1.2671594508975714E-2</v>
      </c>
      <c r="AG19">
        <v>469</v>
      </c>
      <c r="AH19" s="3">
        <f t="shared" si="15"/>
        <v>2.3199445983379502E-2</v>
      </c>
      <c r="AI19">
        <v>1707</v>
      </c>
      <c r="AJ19" s="3">
        <f t="shared" si="16"/>
        <v>4.1571282450927866E-2</v>
      </c>
      <c r="AK19">
        <v>112</v>
      </c>
      <c r="AL19" s="3">
        <f t="shared" si="17"/>
        <v>1.8754186202277295E-2</v>
      </c>
      <c r="AM19">
        <v>563</v>
      </c>
      <c r="AN19" s="3">
        <f t="shared" si="18"/>
        <v>7.5937415700026975E-2</v>
      </c>
      <c r="AO19">
        <v>180</v>
      </c>
      <c r="AP19" s="3">
        <f t="shared" si="19"/>
        <v>4.745583970471922E-2</v>
      </c>
      <c r="AQ19">
        <v>110</v>
      </c>
      <c r="AR19" s="3">
        <f t="shared" si="20"/>
        <v>0.11375387797311272</v>
      </c>
      <c r="AS19">
        <v>0</v>
      </c>
      <c r="AT19" s="3">
        <f t="shared" si="21"/>
        <v>0</v>
      </c>
      <c r="AU19">
        <v>9</v>
      </c>
      <c r="AV19" s="3">
        <f t="shared" si="22"/>
        <v>0.17647058823529413</v>
      </c>
      <c r="AW19">
        <v>0</v>
      </c>
      <c r="AX19" s="3">
        <f t="shared" si="23"/>
        <v>0</v>
      </c>
      <c r="AY19">
        <v>4</v>
      </c>
      <c r="AZ19" s="3">
        <f t="shared" si="24"/>
        <v>4.9382716049382713E-2</v>
      </c>
      <c r="BA19">
        <v>5</v>
      </c>
      <c r="BB19" s="3">
        <f t="shared" si="25"/>
        <v>6.5789473684210523E-2</v>
      </c>
      <c r="BC19">
        <v>34</v>
      </c>
      <c r="BD19" s="3">
        <f t="shared" si="26"/>
        <v>7.7625570776255703E-2</v>
      </c>
      <c r="BE19">
        <v>6</v>
      </c>
      <c r="BF19" s="3">
        <f t="shared" si="27"/>
        <v>0.13043478260869565</v>
      </c>
      <c r="BG19">
        <v>2255000</v>
      </c>
      <c r="BH19" s="3">
        <f t="shared" si="28"/>
        <v>0.22304648862512363</v>
      </c>
      <c r="BI19">
        <v>3100000</v>
      </c>
      <c r="BJ19" s="3">
        <f t="shared" si="29"/>
        <v>0.16315789473684211</v>
      </c>
      <c r="BK19">
        <v>16000000000</v>
      </c>
      <c r="BL19" s="3">
        <f t="shared" si="30"/>
        <v>5.3333333333333337E-2</v>
      </c>
      <c r="BM19">
        <v>110400000</v>
      </c>
      <c r="BN19" s="3">
        <f t="shared" si="31"/>
        <v>0.13698970095545354</v>
      </c>
      <c r="BO19">
        <v>109</v>
      </c>
      <c r="BP19" s="3">
        <f t="shared" si="32"/>
        <v>1.6996725401528145E-2</v>
      </c>
      <c r="BQ19">
        <v>15</v>
      </c>
      <c r="BR19" s="3">
        <f t="shared" si="33"/>
        <v>0.625</v>
      </c>
      <c r="BS19">
        <v>1751868</v>
      </c>
      <c r="BT19" s="3">
        <f t="shared" si="34"/>
        <v>0.26597415058732793</v>
      </c>
      <c r="BU19">
        <v>28538</v>
      </c>
      <c r="BV19" s="3">
        <f t="shared" si="35"/>
        <v>0.12695291647389587</v>
      </c>
      <c r="BW19">
        <v>4093</v>
      </c>
      <c r="BX19" s="3">
        <f t="shared" si="36"/>
        <v>0.30289350995337821</v>
      </c>
      <c r="BY19">
        <v>24500</v>
      </c>
      <c r="BZ19" s="3">
        <f t="shared" si="37"/>
        <v>4.1680843824430075E-2</v>
      </c>
      <c r="CA19" s="1">
        <v>544100</v>
      </c>
      <c r="CB19">
        <v>352100</v>
      </c>
      <c r="CC19" s="3">
        <f t="shared" si="38"/>
        <v>0.11387451487710219</v>
      </c>
      <c r="CD19">
        <v>3135000</v>
      </c>
      <c r="CE19" s="3">
        <f t="shared" si="39"/>
        <v>0.14739069111424541</v>
      </c>
      <c r="CF19" s="2">
        <v>8514877</v>
      </c>
      <c r="CG19" s="3">
        <f t="shared" si="40"/>
        <v>0.50200277899915091</v>
      </c>
      <c r="CH19" s="2">
        <v>7491</v>
      </c>
      <c r="CI19" s="3">
        <f t="shared" si="41"/>
        <v>0.96293052256532063</v>
      </c>
      <c r="CJ19" s="2">
        <v>16145</v>
      </c>
      <c r="CK19" s="3">
        <f t="shared" si="42"/>
        <v>0.28107049027029429</v>
      </c>
      <c r="CL19" s="1">
        <v>50000</v>
      </c>
    </row>
    <row r="20" spans="1:90" x14ac:dyDescent="0.3">
      <c r="A20" t="s">
        <v>82</v>
      </c>
      <c r="B20" t="s">
        <v>83</v>
      </c>
      <c r="C20">
        <v>18</v>
      </c>
      <c r="D20" s="9">
        <f t="shared" si="1"/>
        <v>15</v>
      </c>
      <c r="E20" s="9">
        <f t="shared" si="0"/>
        <v>6.1493119481639775</v>
      </c>
      <c r="F20" s="1">
        <v>23464787</v>
      </c>
      <c r="G20">
        <v>12200000</v>
      </c>
      <c r="H20" s="3">
        <f t="shared" si="2"/>
        <v>1.6266666666666665E-2</v>
      </c>
      <c r="I20">
        <v>10030000</v>
      </c>
      <c r="J20" s="3">
        <f t="shared" si="3"/>
        <v>1.6203554119547658E-2</v>
      </c>
      <c r="K20">
        <v>325000</v>
      </c>
      <c r="L20" s="3">
        <f t="shared" si="4"/>
        <v>1.4192139737991267E-2</v>
      </c>
      <c r="M20">
        <v>1932500</v>
      </c>
      <c r="N20" s="3">
        <f t="shared" si="5"/>
        <v>0.29984484096198605</v>
      </c>
      <c r="O20">
        <v>257500</v>
      </c>
      <c r="P20" s="3">
        <f t="shared" si="6"/>
        <v>0.11393805309734513</v>
      </c>
      <c r="Q20">
        <v>1675000</v>
      </c>
      <c r="R20" s="3">
        <f t="shared" si="7"/>
        <v>0.30454545454545456</v>
      </c>
      <c r="S20">
        <v>850</v>
      </c>
      <c r="T20" s="3">
        <f t="shared" si="8"/>
        <v>6.1764278447900015E-2</v>
      </c>
      <c r="U20">
        <v>286</v>
      </c>
      <c r="V20" s="3">
        <f t="shared" si="9"/>
        <v>0.12456445993031359</v>
      </c>
      <c r="W20">
        <v>287</v>
      </c>
      <c r="X20" s="3">
        <f t="shared" si="10"/>
        <v>0.10305206463195692</v>
      </c>
      <c r="Y20">
        <v>189</v>
      </c>
      <c r="Z20" s="3">
        <f t="shared" si="11"/>
        <v>3.2932566649242032E-2</v>
      </c>
      <c r="AA20">
        <v>203</v>
      </c>
      <c r="AB20" s="3">
        <f t="shared" si="12"/>
        <v>7.1706110914871071E-2</v>
      </c>
      <c r="AC20">
        <v>345</v>
      </c>
      <c r="AD20" s="3">
        <f t="shared" si="13"/>
        <v>5.688375927452597E-2</v>
      </c>
      <c r="AE20">
        <v>91</v>
      </c>
      <c r="AF20" s="3">
        <f t="shared" si="14"/>
        <v>9.6092925026399156E-2</v>
      </c>
      <c r="AG20">
        <v>2005</v>
      </c>
      <c r="AH20" s="3">
        <f t="shared" si="15"/>
        <v>9.9178868223189554E-2</v>
      </c>
      <c r="AI20">
        <v>4350</v>
      </c>
      <c r="AJ20" s="3">
        <f t="shared" si="16"/>
        <v>0.10593736301203059</v>
      </c>
      <c r="AK20">
        <v>482</v>
      </c>
      <c r="AL20" s="3">
        <f t="shared" si="17"/>
        <v>8.0709979906229065E-2</v>
      </c>
      <c r="AM20">
        <v>1160</v>
      </c>
      <c r="AN20" s="3">
        <f t="shared" si="18"/>
        <v>0.15646074993256001</v>
      </c>
      <c r="AO20">
        <v>72</v>
      </c>
      <c r="AP20" s="3">
        <f t="shared" si="19"/>
        <v>1.8982335881887687E-2</v>
      </c>
      <c r="AQ20">
        <v>87</v>
      </c>
      <c r="AR20" s="3">
        <f t="shared" si="20"/>
        <v>8.9968976215098237E-2</v>
      </c>
      <c r="AS20">
        <v>0</v>
      </c>
      <c r="AT20" s="3">
        <f t="shared" si="21"/>
        <v>0</v>
      </c>
      <c r="AU20">
        <v>20</v>
      </c>
      <c r="AV20" s="3">
        <f t="shared" si="22"/>
        <v>0.39215686274509803</v>
      </c>
      <c r="AW20">
        <v>4</v>
      </c>
      <c r="AX20" s="3">
        <f t="shared" si="23"/>
        <v>6.3492063492063489E-2</v>
      </c>
      <c r="AY20">
        <v>1</v>
      </c>
      <c r="AZ20" s="3">
        <f t="shared" si="24"/>
        <v>1.2345679012345678E-2</v>
      </c>
      <c r="BA20">
        <v>4</v>
      </c>
      <c r="BB20" s="3">
        <f t="shared" si="25"/>
        <v>5.2631578947368418E-2</v>
      </c>
      <c r="BC20">
        <v>51</v>
      </c>
      <c r="BD20" s="3">
        <f t="shared" si="26"/>
        <v>0.11643835616438356</v>
      </c>
      <c r="BE20">
        <v>8</v>
      </c>
      <c r="BF20" s="3">
        <f t="shared" si="27"/>
        <v>0.17391304347826086</v>
      </c>
      <c r="BG20">
        <v>200</v>
      </c>
      <c r="BH20" s="3">
        <f t="shared" si="28"/>
        <v>1.9782393669634026E-5</v>
      </c>
      <c r="BI20">
        <v>975000</v>
      </c>
      <c r="BJ20" s="3">
        <f t="shared" si="29"/>
        <v>5.131578947368421E-2</v>
      </c>
      <c r="BK20">
        <v>10060000</v>
      </c>
      <c r="BL20" s="3">
        <f t="shared" si="30"/>
        <v>3.3533333333333333E-5</v>
      </c>
      <c r="BM20">
        <v>11680000</v>
      </c>
      <c r="BN20" s="3">
        <f t="shared" si="31"/>
        <v>1.4493113289490012E-2</v>
      </c>
      <c r="BO20">
        <v>112</v>
      </c>
      <c r="BP20" s="3">
        <f t="shared" si="32"/>
        <v>1.7464525183221582E-2</v>
      </c>
      <c r="BQ20">
        <v>4</v>
      </c>
      <c r="BR20" s="3">
        <f t="shared" si="33"/>
        <v>0.16666666666666666</v>
      </c>
      <c r="BS20">
        <v>41475</v>
      </c>
      <c r="BT20" s="3">
        <f t="shared" si="34"/>
        <v>6.2968659143322588E-3</v>
      </c>
      <c r="BU20">
        <v>1580</v>
      </c>
      <c r="BV20" s="3">
        <f t="shared" si="35"/>
        <v>7.0287198832698671E-3</v>
      </c>
      <c r="BW20">
        <v>37</v>
      </c>
      <c r="BX20" s="3">
        <f t="shared" si="36"/>
        <v>2.7381040479538222E-3</v>
      </c>
      <c r="BY20">
        <v>10725</v>
      </c>
      <c r="BZ20" s="3">
        <f t="shared" si="37"/>
        <v>1.8246002041510719E-2</v>
      </c>
      <c r="CA20" s="1">
        <v>155400</v>
      </c>
      <c r="CB20">
        <v>456900</v>
      </c>
      <c r="CC20" s="3">
        <f t="shared" si="38"/>
        <v>0.14776843467011644</v>
      </c>
      <c r="CD20">
        <v>1125000</v>
      </c>
      <c r="CE20" s="3">
        <f t="shared" si="39"/>
        <v>5.2891396332863189E-2</v>
      </c>
      <c r="CF20" s="2">
        <v>35980</v>
      </c>
      <c r="CG20" s="3">
        <f t="shared" si="40"/>
        <v>0.99789569009492318</v>
      </c>
      <c r="CH20" s="2">
        <v>1566</v>
      </c>
      <c r="CI20" s="3">
        <f t="shared" si="41"/>
        <v>0.99225059382422798</v>
      </c>
      <c r="CJ20" s="2">
        <v>0</v>
      </c>
      <c r="CK20" s="3">
        <f t="shared" si="42"/>
        <v>1</v>
      </c>
      <c r="CL20" s="1">
        <v>3720</v>
      </c>
    </row>
    <row r="21" spans="1:90" x14ac:dyDescent="0.3">
      <c r="A21" t="s">
        <v>84</v>
      </c>
      <c r="B21" t="s">
        <v>85</v>
      </c>
      <c r="C21">
        <v>19</v>
      </c>
      <c r="D21" s="9">
        <f t="shared" si="1"/>
        <v>28</v>
      </c>
      <c r="E21" s="9">
        <f t="shared" si="0"/>
        <v>4.7687627172272276</v>
      </c>
      <c r="F21" s="1">
        <v>38523261</v>
      </c>
      <c r="G21">
        <v>19000000</v>
      </c>
      <c r="H21" s="3">
        <f t="shared" si="2"/>
        <v>2.5333333333333333E-2</v>
      </c>
      <c r="I21">
        <v>15585000</v>
      </c>
      <c r="J21" s="3">
        <f t="shared" si="3"/>
        <v>2.5177705977382874E-2</v>
      </c>
      <c r="K21">
        <v>435000</v>
      </c>
      <c r="L21" s="3">
        <f t="shared" si="4"/>
        <v>1.8995633187772927E-2</v>
      </c>
      <c r="M21">
        <v>184650</v>
      </c>
      <c r="N21" s="3">
        <f t="shared" si="5"/>
        <v>2.865011636927851E-2</v>
      </c>
      <c r="O21">
        <v>109650</v>
      </c>
      <c r="P21" s="3">
        <f t="shared" si="6"/>
        <v>4.8517699115044249E-2</v>
      </c>
      <c r="Q21">
        <v>75000</v>
      </c>
      <c r="R21" s="3">
        <f t="shared" si="7"/>
        <v>1.3636363636363636E-2</v>
      </c>
      <c r="S21">
        <v>465</v>
      </c>
      <c r="T21" s="3">
        <f t="shared" si="8"/>
        <v>3.3788693503851185E-2</v>
      </c>
      <c r="U21">
        <v>99</v>
      </c>
      <c r="V21" s="3">
        <f t="shared" si="9"/>
        <v>4.3118466898954703E-2</v>
      </c>
      <c r="W21">
        <v>99</v>
      </c>
      <c r="X21" s="3">
        <f t="shared" si="10"/>
        <v>3.5547576301615799E-2</v>
      </c>
      <c r="Y21">
        <v>229</v>
      </c>
      <c r="Z21" s="3">
        <f t="shared" si="11"/>
        <v>3.9902422024742985E-2</v>
      </c>
      <c r="AA21">
        <v>98</v>
      </c>
      <c r="AB21" s="3">
        <f t="shared" si="12"/>
        <v>3.4616743200282588E-2</v>
      </c>
      <c r="AC21">
        <v>211</v>
      </c>
      <c r="AD21" s="3">
        <f t="shared" si="13"/>
        <v>3.4789777411376753E-2</v>
      </c>
      <c r="AE21">
        <v>29</v>
      </c>
      <c r="AF21" s="3">
        <f t="shared" si="14"/>
        <v>3.0623020063357972E-2</v>
      </c>
      <c r="AG21">
        <v>1065</v>
      </c>
      <c r="AH21" s="3">
        <f t="shared" si="15"/>
        <v>5.26810447170558E-2</v>
      </c>
      <c r="AI21">
        <v>2608</v>
      </c>
      <c r="AJ21" s="3">
        <f t="shared" si="16"/>
        <v>6.3513710973649606E-2</v>
      </c>
      <c r="AK21">
        <v>443</v>
      </c>
      <c r="AL21" s="3">
        <f t="shared" si="17"/>
        <v>7.4179504353650366E-2</v>
      </c>
      <c r="AM21">
        <v>72</v>
      </c>
      <c r="AN21" s="3">
        <f t="shared" si="18"/>
        <v>9.711356892365795E-3</v>
      </c>
      <c r="AO21">
        <v>240</v>
      </c>
      <c r="AP21" s="3">
        <f t="shared" si="19"/>
        <v>6.3274452939625622E-2</v>
      </c>
      <c r="AQ21">
        <v>83</v>
      </c>
      <c r="AR21" s="3">
        <f t="shared" si="20"/>
        <v>8.583247156153051E-2</v>
      </c>
      <c r="AS21">
        <v>0</v>
      </c>
      <c r="AT21" s="3">
        <f t="shared" si="21"/>
        <v>0</v>
      </c>
      <c r="AU21">
        <v>2</v>
      </c>
      <c r="AV21" s="3">
        <f t="shared" si="22"/>
        <v>3.9215686274509803E-2</v>
      </c>
      <c r="AW21">
        <v>0</v>
      </c>
      <c r="AX21" s="3">
        <f t="shared" si="23"/>
        <v>0</v>
      </c>
      <c r="AY21">
        <v>2</v>
      </c>
      <c r="AZ21" s="3">
        <f t="shared" si="24"/>
        <v>2.4691358024691357E-2</v>
      </c>
      <c r="BA21">
        <v>5</v>
      </c>
      <c r="BB21" s="3">
        <f t="shared" si="25"/>
        <v>6.5789473684210523E-2</v>
      </c>
      <c r="BC21">
        <v>3</v>
      </c>
      <c r="BD21" s="3">
        <f t="shared" si="26"/>
        <v>6.8493150684931503E-3</v>
      </c>
      <c r="BE21">
        <v>25</v>
      </c>
      <c r="BF21" s="3">
        <f t="shared" si="27"/>
        <v>0.54347826086956519</v>
      </c>
      <c r="BG21">
        <v>19260</v>
      </c>
      <c r="BH21" s="3">
        <f t="shared" si="28"/>
        <v>1.9050445103857567E-3</v>
      </c>
      <c r="BI21">
        <v>512000</v>
      </c>
      <c r="BJ21" s="3">
        <f t="shared" si="29"/>
        <v>2.6947368421052633E-2</v>
      </c>
      <c r="BK21">
        <v>100000000</v>
      </c>
      <c r="BL21" s="3">
        <f t="shared" si="30"/>
        <v>3.3333333333333332E-4</v>
      </c>
      <c r="BM21">
        <v>17780000</v>
      </c>
      <c r="BN21" s="3">
        <f t="shared" si="31"/>
        <v>2.2062290606775035E-2</v>
      </c>
      <c r="BO21">
        <v>9</v>
      </c>
      <c r="BP21" s="3">
        <f t="shared" si="32"/>
        <v>1.4033993450803055E-3</v>
      </c>
      <c r="BQ21">
        <v>4</v>
      </c>
      <c r="BR21" s="3">
        <f t="shared" si="33"/>
        <v>0.16666666666666666</v>
      </c>
      <c r="BS21">
        <v>423997</v>
      </c>
      <c r="BT21" s="3">
        <f t="shared" si="34"/>
        <v>6.4372567982619283E-2</v>
      </c>
      <c r="BU21">
        <v>19428</v>
      </c>
      <c r="BV21" s="3">
        <f t="shared" si="35"/>
        <v>8.6426563222890496E-2</v>
      </c>
      <c r="BW21">
        <v>126</v>
      </c>
      <c r="BX21" s="3">
        <f t="shared" si="36"/>
        <v>9.3243543254643672E-3</v>
      </c>
      <c r="BY21">
        <v>9360</v>
      </c>
      <c r="BZ21" s="3">
        <f t="shared" si="37"/>
        <v>1.5923783599863899E-2</v>
      </c>
      <c r="CA21" s="1">
        <v>344800</v>
      </c>
      <c r="CB21">
        <v>90210</v>
      </c>
      <c r="CC21" s="3">
        <f t="shared" si="38"/>
        <v>2.9175291073738681E-2</v>
      </c>
      <c r="CD21">
        <v>1052000</v>
      </c>
      <c r="CE21" s="3">
        <f t="shared" si="39"/>
        <v>4.9459332393041844E-2</v>
      </c>
      <c r="CF21" s="2">
        <v>312685</v>
      </c>
      <c r="CG21" s="3">
        <f t="shared" si="40"/>
        <v>0.98171244739663877</v>
      </c>
      <c r="CH21" s="2">
        <v>440</v>
      </c>
      <c r="CI21" s="3">
        <f t="shared" si="41"/>
        <v>0.99782264449722879</v>
      </c>
      <c r="CJ21" s="2">
        <v>2845</v>
      </c>
      <c r="CK21" s="3">
        <f t="shared" si="42"/>
        <v>0.87331344346974216</v>
      </c>
      <c r="CL21" s="1">
        <v>3997</v>
      </c>
    </row>
    <row r="22" spans="1:90" x14ac:dyDescent="0.3">
      <c r="A22" t="s">
        <v>86</v>
      </c>
      <c r="B22" t="s">
        <v>87</v>
      </c>
      <c r="C22">
        <v>20</v>
      </c>
      <c r="D22" s="9">
        <f t="shared" si="1"/>
        <v>27</v>
      </c>
      <c r="E22" s="9">
        <f t="shared" si="0"/>
        <v>4.7842853806695205</v>
      </c>
      <c r="F22" s="1">
        <v>68200824</v>
      </c>
      <c r="G22">
        <v>35500000</v>
      </c>
      <c r="H22" s="3">
        <f t="shared" si="2"/>
        <v>4.7333333333333331E-2</v>
      </c>
      <c r="I22">
        <v>27500000</v>
      </c>
      <c r="J22" s="3">
        <f t="shared" si="3"/>
        <v>4.4426494345718902E-2</v>
      </c>
      <c r="K22">
        <v>1045000</v>
      </c>
      <c r="L22" s="3">
        <f t="shared" si="4"/>
        <v>4.5633187772925764E-2</v>
      </c>
      <c r="M22">
        <v>627425</v>
      </c>
      <c r="N22" s="3">
        <f t="shared" si="5"/>
        <v>9.7350659425911562E-2</v>
      </c>
      <c r="O22">
        <v>335425</v>
      </c>
      <c r="P22" s="3">
        <f t="shared" si="6"/>
        <v>0.14841814159292036</v>
      </c>
      <c r="Q22">
        <v>292000</v>
      </c>
      <c r="R22" s="3">
        <f t="shared" si="7"/>
        <v>5.3090909090909091E-2</v>
      </c>
      <c r="S22">
        <v>555</v>
      </c>
      <c r="T22" s="3">
        <f t="shared" si="8"/>
        <v>4.032844063362883E-2</v>
      </c>
      <c r="U22">
        <v>76</v>
      </c>
      <c r="V22" s="3">
        <f t="shared" si="9"/>
        <v>3.3101045296167246E-2</v>
      </c>
      <c r="W22">
        <v>95</v>
      </c>
      <c r="X22" s="3">
        <f t="shared" si="10"/>
        <v>3.4111310592459608E-2</v>
      </c>
      <c r="Y22">
        <v>327</v>
      </c>
      <c r="Z22" s="3">
        <f t="shared" si="11"/>
        <v>5.6978567694720338E-2</v>
      </c>
      <c r="AA22">
        <v>154</v>
      </c>
      <c r="AB22" s="3">
        <f t="shared" si="12"/>
        <v>5.4397739314729777E-2</v>
      </c>
      <c r="AC22">
        <v>294</v>
      </c>
      <c r="AD22" s="3">
        <f t="shared" si="13"/>
        <v>4.8474855729596041E-2</v>
      </c>
      <c r="AE22">
        <v>7</v>
      </c>
      <c r="AF22" s="3">
        <f t="shared" si="14"/>
        <v>7.3917634635691657E-3</v>
      </c>
      <c r="AG22">
        <v>737</v>
      </c>
      <c r="AH22" s="3">
        <f t="shared" si="15"/>
        <v>3.6456272259596356E-2</v>
      </c>
      <c r="AI22">
        <v>2614</v>
      </c>
      <c r="AJ22" s="3">
        <f t="shared" si="16"/>
        <v>6.3659831474355846E-2</v>
      </c>
      <c r="AK22">
        <v>26</v>
      </c>
      <c r="AL22" s="3">
        <f t="shared" si="17"/>
        <v>4.3536503683858007E-3</v>
      </c>
      <c r="AM22">
        <v>695</v>
      </c>
      <c r="AN22" s="3">
        <f t="shared" si="18"/>
        <v>9.3741570002697602E-2</v>
      </c>
      <c r="AO22">
        <v>13</v>
      </c>
      <c r="AP22" s="3">
        <f t="shared" si="19"/>
        <v>3.4273662008963879E-3</v>
      </c>
      <c r="AQ22">
        <v>81</v>
      </c>
      <c r="AR22" s="3">
        <f t="shared" si="20"/>
        <v>8.376421923474664E-2</v>
      </c>
      <c r="AS22">
        <v>1</v>
      </c>
      <c r="AT22" s="3">
        <f t="shared" si="21"/>
        <v>5.2631578947368418E-2</v>
      </c>
      <c r="AU22">
        <v>8</v>
      </c>
      <c r="AV22" s="3">
        <f t="shared" si="22"/>
        <v>0.15686274509803921</v>
      </c>
      <c r="AW22">
        <v>0</v>
      </c>
      <c r="AX22" s="3">
        <f t="shared" si="23"/>
        <v>0</v>
      </c>
      <c r="AY22">
        <v>7</v>
      </c>
      <c r="AZ22" s="3">
        <f t="shared" si="24"/>
        <v>8.6419753086419748E-2</v>
      </c>
      <c r="BA22">
        <v>0</v>
      </c>
      <c r="BB22" s="3">
        <f t="shared" si="25"/>
        <v>0</v>
      </c>
      <c r="BC22">
        <v>32</v>
      </c>
      <c r="BD22" s="3">
        <f t="shared" si="26"/>
        <v>7.3059360730593603E-2</v>
      </c>
      <c r="BE22">
        <v>7</v>
      </c>
      <c r="BF22" s="3">
        <f t="shared" si="27"/>
        <v>0.15217391304347827</v>
      </c>
      <c r="BG22">
        <v>232900</v>
      </c>
      <c r="BH22" s="3">
        <f t="shared" si="28"/>
        <v>2.3036597428288823E-2</v>
      </c>
      <c r="BI22">
        <v>1005000</v>
      </c>
      <c r="BJ22" s="3">
        <f t="shared" si="29"/>
        <v>5.2894736842105265E-2</v>
      </c>
      <c r="BK22">
        <v>400000000</v>
      </c>
      <c r="BL22" s="3">
        <f t="shared" si="30"/>
        <v>1.3333333333333333E-3</v>
      </c>
      <c r="BM22">
        <v>38450000</v>
      </c>
      <c r="BN22" s="3">
        <f t="shared" si="31"/>
        <v>4.7710634073706418E-2</v>
      </c>
      <c r="BO22">
        <v>363</v>
      </c>
      <c r="BP22" s="3">
        <f t="shared" si="32"/>
        <v>5.6603773584905662E-2</v>
      </c>
      <c r="BQ22">
        <v>5</v>
      </c>
      <c r="BR22" s="3">
        <f t="shared" si="33"/>
        <v>0.20833333333333334</v>
      </c>
      <c r="BS22">
        <v>180053</v>
      </c>
      <c r="BT22" s="3">
        <f t="shared" si="34"/>
        <v>2.7336216961380739E-2</v>
      </c>
      <c r="BU22">
        <v>4071</v>
      </c>
      <c r="BV22" s="3">
        <f t="shared" si="35"/>
        <v>1.8110075091640272E-2</v>
      </c>
      <c r="BW22">
        <v>101</v>
      </c>
      <c r="BX22" s="3">
        <f t="shared" si="36"/>
        <v>7.474284022792866E-3</v>
      </c>
      <c r="BY22">
        <v>5390</v>
      </c>
      <c r="BZ22" s="3">
        <f t="shared" si="37"/>
        <v>9.1697856413746164E-3</v>
      </c>
      <c r="CA22" s="1">
        <v>137100</v>
      </c>
      <c r="CB22">
        <v>181400</v>
      </c>
      <c r="CC22" s="3">
        <f t="shared" si="38"/>
        <v>5.866752910737387E-2</v>
      </c>
      <c r="CD22">
        <v>1161000</v>
      </c>
      <c r="CE22" s="3">
        <f t="shared" si="39"/>
        <v>5.4583921015514812E-2</v>
      </c>
      <c r="CF22" s="2">
        <v>513120</v>
      </c>
      <c r="CG22" s="3">
        <f t="shared" si="40"/>
        <v>0.96998989720697604</v>
      </c>
      <c r="CH22" s="2">
        <v>3219</v>
      </c>
      <c r="CI22" s="3">
        <f t="shared" si="41"/>
        <v>0.98407066508313534</v>
      </c>
      <c r="CJ22" s="2">
        <v>5673</v>
      </c>
      <c r="CK22" s="3">
        <f t="shared" si="42"/>
        <v>0.74738388921049115</v>
      </c>
      <c r="CL22" s="1">
        <v>4000</v>
      </c>
    </row>
    <row r="23" spans="1:90" x14ac:dyDescent="0.3">
      <c r="A23" t="s">
        <v>88</v>
      </c>
      <c r="B23" t="s">
        <v>89</v>
      </c>
      <c r="C23">
        <v>21</v>
      </c>
      <c r="D23" s="9">
        <f t="shared" si="1"/>
        <v>9</v>
      </c>
      <c r="E23" s="9">
        <f t="shared" si="0"/>
        <v>7.3976028877827469</v>
      </c>
      <c r="F23" s="1">
        <v>82801633</v>
      </c>
      <c r="G23">
        <v>47000000</v>
      </c>
      <c r="H23" s="3">
        <f t="shared" si="2"/>
        <v>6.2666666666666662E-2</v>
      </c>
      <c r="I23">
        <v>39570000</v>
      </c>
      <c r="J23" s="3">
        <f t="shared" si="3"/>
        <v>6.3925686591276246E-2</v>
      </c>
      <c r="K23">
        <v>1400000</v>
      </c>
      <c r="L23" s="3">
        <f t="shared" si="4"/>
        <v>6.1135371179039298E-2</v>
      </c>
      <c r="M23">
        <v>934000</v>
      </c>
      <c r="N23" s="3">
        <f t="shared" si="5"/>
        <v>0.14491854150504266</v>
      </c>
      <c r="O23">
        <v>534000</v>
      </c>
      <c r="P23" s="3">
        <f t="shared" si="6"/>
        <v>0.23628318584070795</v>
      </c>
      <c r="Q23">
        <v>400000</v>
      </c>
      <c r="R23" s="3">
        <f t="shared" si="7"/>
        <v>7.2727272727272724E-2</v>
      </c>
      <c r="S23">
        <v>477</v>
      </c>
      <c r="T23" s="3">
        <f t="shared" si="8"/>
        <v>3.4660659787821541E-2</v>
      </c>
      <c r="U23">
        <v>137</v>
      </c>
      <c r="V23" s="3">
        <f t="shared" si="9"/>
        <v>5.966898954703833E-2</v>
      </c>
      <c r="W23">
        <v>137</v>
      </c>
      <c r="X23" s="3">
        <f t="shared" si="10"/>
        <v>4.919210053859964E-2</v>
      </c>
      <c r="Y23">
        <v>203</v>
      </c>
      <c r="Z23" s="3">
        <f t="shared" si="11"/>
        <v>3.5372016030667364E-2</v>
      </c>
      <c r="AA23">
        <v>79</v>
      </c>
      <c r="AB23" s="3">
        <f t="shared" si="12"/>
        <v>2.7905333804309432E-2</v>
      </c>
      <c r="AC23">
        <v>126</v>
      </c>
      <c r="AD23" s="3">
        <f t="shared" si="13"/>
        <v>2.0774938169826875E-2</v>
      </c>
      <c r="AE23">
        <v>12</v>
      </c>
      <c r="AF23" s="3">
        <f t="shared" si="14"/>
        <v>1.2671594508975714E-2</v>
      </c>
      <c r="AG23">
        <v>1616</v>
      </c>
      <c r="AH23" s="3">
        <f t="shared" si="15"/>
        <v>7.9936683814800152E-2</v>
      </c>
      <c r="AI23">
        <v>1315</v>
      </c>
      <c r="AJ23" s="3">
        <f t="shared" si="16"/>
        <v>3.2024743071452928E-2</v>
      </c>
      <c r="AK23">
        <v>320</v>
      </c>
      <c r="AL23" s="3">
        <f t="shared" si="17"/>
        <v>5.3583389149363697E-2</v>
      </c>
      <c r="AM23">
        <v>2078</v>
      </c>
      <c r="AN23" s="3">
        <f t="shared" si="18"/>
        <v>0.28028055031022392</v>
      </c>
      <c r="AO23">
        <v>1474</v>
      </c>
      <c r="AP23" s="3">
        <f t="shared" si="19"/>
        <v>0.38861059847086737</v>
      </c>
      <c r="AQ23">
        <v>398</v>
      </c>
      <c r="AR23" s="3">
        <f t="shared" si="20"/>
        <v>0.41158221302998965</v>
      </c>
      <c r="AS23">
        <v>0</v>
      </c>
      <c r="AT23" s="3">
        <f t="shared" si="21"/>
        <v>0</v>
      </c>
      <c r="AU23">
        <v>5</v>
      </c>
      <c r="AV23" s="3">
        <f t="shared" si="22"/>
        <v>9.8039215686274508E-2</v>
      </c>
      <c r="AW23">
        <v>0</v>
      </c>
      <c r="AX23" s="3">
        <f t="shared" si="23"/>
        <v>0</v>
      </c>
      <c r="AY23">
        <v>3</v>
      </c>
      <c r="AZ23" s="3">
        <f t="shared" si="24"/>
        <v>3.7037037037037035E-2</v>
      </c>
      <c r="BA23">
        <v>33</v>
      </c>
      <c r="BB23" s="3">
        <f t="shared" si="25"/>
        <v>0.43421052631578949</v>
      </c>
      <c r="BC23">
        <v>230</v>
      </c>
      <c r="BD23" s="3">
        <f t="shared" si="26"/>
        <v>0.52511415525114158</v>
      </c>
      <c r="BE23">
        <v>10</v>
      </c>
      <c r="BF23" s="3">
        <f t="shared" si="27"/>
        <v>0.21739130434782608</v>
      </c>
      <c r="BG23">
        <v>3236000</v>
      </c>
      <c r="BH23" s="3">
        <f t="shared" si="28"/>
        <v>0.32007912957467854</v>
      </c>
      <c r="BI23">
        <v>1870000</v>
      </c>
      <c r="BJ23" s="3">
        <f t="shared" si="29"/>
        <v>9.8421052631578951E-2</v>
      </c>
      <c r="BK23">
        <v>157800000000</v>
      </c>
      <c r="BL23" s="3">
        <f t="shared" si="30"/>
        <v>0.52600000000000002</v>
      </c>
      <c r="BM23">
        <v>29750000</v>
      </c>
      <c r="BN23" s="3">
        <f t="shared" si="31"/>
        <v>3.6915250031021217E-2</v>
      </c>
      <c r="BO23">
        <v>76</v>
      </c>
      <c r="BP23" s="3">
        <f t="shared" si="32"/>
        <v>1.1850927802900358E-2</v>
      </c>
      <c r="BQ23">
        <v>3</v>
      </c>
      <c r="BR23" s="3">
        <f t="shared" si="33"/>
        <v>0.125</v>
      </c>
      <c r="BS23">
        <v>172927</v>
      </c>
      <c r="BT23" s="3">
        <f t="shared" si="34"/>
        <v>2.6254325062513191E-2</v>
      </c>
      <c r="BU23">
        <v>8442</v>
      </c>
      <c r="BV23" s="3">
        <f t="shared" si="35"/>
        <v>3.7554717249724187E-2</v>
      </c>
      <c r="BW23">
        <v>319</v>
      </c>
      <c r="BX23" s="3">
        <f t="shared" si="36"/>
        <v>2.360689706208836E-2</v>
      </c>
      <c r="BY23">
        <v>6300</v>
      </c>
      <c r="BZ23" s="3">
        <f t="shared" si="37"/>
        <v>1.0717931269139162E-2</v>
      </c>
      <c r="CA23" s="1">
        <v>7116</v>
      </c>
      <c r="CB23">
        <v>135500</v>
      </c>
      <c r="CC23" s="3">
        <f t="shared" si="38"/>
        <v>4.3822768434670117E-2</v>
      </c>
      <c r="CD23">
        <v>1459000</v>
      </c>
      <c r="CE23" s="3">
        <f t="shared" si="39"/>
        <v>6.8594264221908785E-2</v>
      </c>
      <c r="CF23" s="2">
        <v>1648195</v>
      </c>
      <c r="CG23" s="3">
        <f t="shared" si="40"/>
        <v>0.90360441734302277</v>
      </c>
      <c r="CH23" s="2">
        <v>2440</v>
      </c>
      <c r="CI23" s="3">
        <f t="shared" si="41"/>
        <v>0.98792557403008707</v>
      </c>
      <c r="CJ23" s="2">
        <v>5894</v>
      </c>
      <c r="CK23" s="3">
        <f t="shared" si="42"/>
        <v>0.73754285968740252</v>
      </c>
      <c r="CL23" s="1">
        <v>850</v>
      </c>
    </row>
    <row r="24" spans="1:90" x14ac:dyDescent="0.3">
      <c r="A24" t="s">
        <v>90</v>
      </c>
      <c r="B24" t="s">
        <v>91</v>
      </c>
      <c r="C24">
        <v>22</v>
      </c>
      <c r="D24" s="9">
        <f t="shared" si="1"/>
        <v>26</v>
      </c>
      <c r="E24" s="9">
        <f t="shared" si="0"/>
        <v>4.8090429619582729</v>
      </c>
      <c r="F24" s="1">
        <v>22992654</v>
      </c>
      <c r="G24">
        <v>10700000</v>
      </c>
      <c r="H24" s="3">
        <f t="shared" si="2"/>
        <v>1.4266666666666667E-2</v>
      </c>
      <c r="I24">
        <v>8800000</v>
      </c>
      <c r="J24" s="3">
        <f t="shared" si="3"/>
        <v>1.4216478190630048E-2</v>
      </c>
      <c r="K24">
        <v>280000</v>
      </c>
      <c r="L24" s="3">
        <f t="shared" si="4"/>
        <v>1.222707423580786E-2</v>
      </c>
      <c r="M24">
        <v>81000</v>
      </c>
      <c r="N24" s="3">
        <f t="shared" si="5"/>
        <v>1.2567882079131109E-2</v>
      </c>
      <c r="O24">
        <v>60000</v>
      </c>
      <c r="P24" s="3">
        <f t="shared" si="6"/>
        <v>2.6548672566371681E-2</v>
      </c>
      <c r="Q24">
        <v>21000</v>
      </c>
      <c r="R24" s="3">
        <f t="shared" si="7"/>
        <v>3.8181818181818182E-3</v>
      </c>
      <c r="S24">
        <v>465</v>
      </c>
      <c r="T24" s="3">
        <f t="shared" si="8"/>
        <v>3.3788693503851185E-2</v>
      </c>
      <c r="U24">
        <v>78</v>
      </c>
      <c r="V24" s="3">
        <f t="shared" si="9"/>
        <v>3.3972125435540068E-2</v>
      </c>
      <c r="W24">
        <v>78</v>
      </c>
      <c r="X24" s="3">
        <f t="shared" si="10"/>
        <v>2.800718132854578E-2</v>
      </c>
      <c r="Y24">
        <v>161</v>
      </c>
      <c r="Z24" s="3">
        <f t="shared" si="11"/>
        <v>2.8053667886391357E-2</v>
      </c>
      <c r="AA24">
        <v>158</v>
      </c>
      <c r="AB24" s="3">
        <f t="shared" si="12"/>
        <v>5.5810667608618865E-2</v>
      </c>
      <c r="AC24">
        <v>210</v>
      </c>
      <c r="AD24" s="3">
        <f t="shared" si="13"/>
        <v>3.4624896949711458E-2</v>
      </c>
      <c r="AE24">
        <v>22</v>
      </c>
      <c r="AF24" s="3">
        <f t="shared" si="14"/>
        <v>2.3231256599788808E-2</v>
      </c>
      <c r="AG24">
        <v>59</v>
      </c>
      <c r="AH24" s="3">
        <f t="shared" si="15"/>
        <v>2.9184804115552038E-3</v>
      </c>
      <c r="AI24">
        <v>2040</v>
      </c>
      <c r="AJ24" s="3">
        <f t="shared" si="16"/>
        <v>4.9680970240124689E-2</v>
      </c>
      <c r="AK24">
        <v>0</v>
      </c>
      <c r="AL24" s="3">
        <f t="shared" si="17"/>
        <v>0</v>
      </c>
      <c r="AM24">
        <v>75</v>
      </c>
      <c r="AN24" s="3">
        <f t="shared" si="18"/>
        <v>1.0115996762881036E-2</v>
      </c>
      <c r="AO24">
        <v>0</v>
      </c>
      <c r="AP24" s="3">
        <f t="shared" si="19"/>
        <v>0</v>
      </c>
      <c r="AQ24">
        <v>47</v>
      </c>
      <c r="AR24" s="3">
        <f t="shared" si="20"/>
        <v>4.8603929679420892E-2</v>
      </c>
      <c r="AS24">
        <v>2</v>
      </c>
      <c r="AT24" s="3">
        <f t="shared" si="21"/>
        <v>0.10526315789473684</v>
      </c>
      <c r="AU24">
        <v>11</v>
      </c>
      <c r="AV24" s="3">
        <f t="shared" si="22"/>
        <v>0.21568627450980393</v>
      </c>
      <c r="AW24">
        <v>0</v>
      </c>
      <c r="AX24" s="3">
        <f t="shared" si="23"/>
        <v>0</v>
      </c>
      <c r="AY24">
        <v>0</v>
      </c>
      <c r="AZ24" s="3">
        <f t="shared" si="24"/>
        <v>0</v>
      </c>
      <c r="BA24">
        <v>6</v>
      </c>
      <c r="BB24" s="3">
        <f t="shared" si="25"/>
        <v>7.8947368421052627E-2</v>
      </c>
      <c r="BC24">
        <v>13</v>
      </c>
      <c r="BD24" s="3">
        <f t="shared" si="26"/>
        <v>2.9680365296803651E-2</v>
      </c>
      <c r="BE24">
        <v>6</v>
      </c>
      <c r="BF24" s="3">
        <f t="shared" si="27"/>
        <v>0.13043478260869565</v>
      </c>
      <c r="BG24">
        <v>354300</v>
      </c>
      <c r="BH24" s="3">
        <f t="shared" si="28"/>
        <v>3.5044510385756678E-2</v>
      </c>
      <c r="BI24">
        <v>1085000</v>
      </c>
      <c r="BJ24" s="3">
        <f t="shared" si="29"/>
        <v>5.7105263157894735E-2</v>
      </c>
      <c r="BK24">
        <v>1200000000</v>
      </c>
      <c r="BL24" s="3">
        <f t="shared" si="30"/>
        <v>4.0000000000000001E-3</v>
      </c>
      <c r="BM24">
        <v>12630000</v>
      </c>
      <c r="BN24" s="3">
        <f t="shared" si="31"/>
        <v>1.5671919593001613E-2</v>
      </c>
      <c r="BO24">
        <v>41</v>
      </c>
      <c r="BP24" s="3">
        <f t="shared" si="32"/>
        <v>6.3932636831436143E-3</v>
      </c>
      <c r="BQ24">
        <v>20</v>
      </c>
      <c r="BR24" s="3">
        <f t="shared" si="33"/>
        <v>0.83333333333333337</v>
      </c>
      <c r="BS24">
        <v>818356</v>
      </c>
      <c r="BT24" s="3">
        <f t="shared" si="34"/>
        <v>0.12424540089666763</v>
      </c>
      <c r="BU24">
        <v>38445</v>
      </c>
      <c r="BV24" s="3">
        <f t="shared" si="35"/>
        <v>0.17102476956475318</v>
      </c>
      <c r="BW24">
        <v>480</v>
      </c>
      <c r="BX24" s="3">
        <f t="shared" si="36"/>
        <v>3.5521349811292832E-2</v>
      </c>
      <c r="BY24">
        <v>24100</v>
      </c>
      <c r="BZ24" s="3">
        <f t="shared" si="37"/>
        <v>4.1000340251786324E-2</v>
      </c>
      <c r="CA24" s="1">
        <v>1692000</v>
      </c>
      <c r="CB24">
        <v>54300</v>
      </c>
      <c r="CC24" s="3">
        <f t="shared" si="38"/>
        <v>1.7561448900388098E-2</v>
      </c>
      <c r="CD24">
        <v>1189000</v>
      </c>
      <c r="CE24" s="3">
        <f t="shared" si="39"/>
        <v>5.5900329102021626E-2</v>
      </c>
      <c r="CF24" s="2">
        <v>7741220</v>
      </c>
      <c r="CG24" s="3">
        <f t="shared" si="40"/>
        <v>0.54725053020070713</v>
      </c>
      <c r="CH24" s="2">
        <v>25760</v>
      </c>
      <c r="CI24" s="3">
        <f t="shared" si="41"/>
        <v>0.87252573238321451</v>
      </c>
      <c r="CJ24" s="2">
        <v>0</v>
      </c>
      <c r="CK24" s="3">
        <f t="shared" si="42"/>
        <v>1</v>
      </c>
      <c r="CL24" s="1">
        <v>2000</v>
      </c>
    </row>
    <row r="25" spans="1:90" x14ac:dyDescent="0.3">
      <c r="A25" t="s">
        <v>92</v>
      </c>
      <c r="B25" t="s">
        <v>93</v>
      </c>
      <c r="C25">
        <v>23</v>
      </c>
      <c r="D25" s="9">
        <f t="shared" si="1"/>
        <v>5</v>
      </c>
      <c r="E25" s="9">
        <f t="shared" si="0"/>
        <v>12.131709347978038</v>
      </c>
      <c r="F25" s="1">
        <v>25115311</v>
      </c>
      <c r="G25">
        <v>13000000</v>
      </c>
      <c r="H25" s="3">
        <f t="shared" si="2"/>
        <v>1.7333333333333333E-2</v>
      </c>
      <c r="I25">
        <v>10100000</v>
      </c>
      <c r="J25" s="3">
        <f t="shared" si="3"/>
        <v>1.631663974151858E-2</v>
      </c>
      <c r="K25">
        <v>415000</v>
      </c>
      <c r="L25" s="3">
        <f t="shared" si="4"/>
        <v>1.8122270742358077E-2</v>
      </c>
      <c r="M25">
        <v>6445000</v>
      </c>
      <c r="N25" s="3">
        <f t="shared" si="5"/>
        <v>1</v>
      </c>
      <c r="O25">
        <v>945000</v>
      </c>
      <c r="P25" s="3">
        <f t="shared" si="6"/>
        <v>0.41814159292035397</v>
      </c>
      <c r="Q25">
        <v>5500000</v>
      </c>
      <c r="R25" s="3">
        <f t="shared" si="7"/>
        <v>1</v>
      </c>
      <c r="S25">
        <v>944</v>
      </c>
      <c r="T25" s="3">
        <f t="shared" si="8"/>
        <v>6.8594681005667776E-2</v>
      </c>
      <c r="U25">
        <v>458</v>
      </c>
      <c r="V25" s="3">
        <f t="shared" si="9"/>
        <v>0.19947735191637631</v>
      </c>
      <c r="W25">
        <v>572</v>
      </c>
      <c r="X25" s="3">
        <f t="shared" si="10"/>
        <v>0.20538599640933572</v>
      </c>
      <c r="Y25">
        <v>100</v>
      </c>
      <c r="Z25" s="3">
        <f t="shared" si="11"/>
        <v>1.7424638438752395E-2</v>
      </c>
      <c r="AA25">
        <v>169</v>
      </c>
      <c r="AB25" s="3">
        <f t="shared" si="12"/>
        <v>5.9696220416813849E-2</v>
      </c>
      <c r="AC25">
        <v>202</v>
      </c>
      <c r="AD25" s="3">
        <f t="shared" si="13"/>
        <v>3.3305853256389115E-2</v>
      </c>
      <c r="AE25">
        <v>20</v>
      </c>
      <c r="AF25" s="3">
        <f t="shared" si="14"/>
        <v>2.1119324181626188E-2</v>
      </c>
      <c r="AG25">
        <v>5025</v>
      </c>
      <c r="AH25" s="3">
        <f t="shared" si="15"/>
        <v>0.24856549267906608</v>
      </c>
      <c r="AI25">
        <v>4100</v>
      </c>
      <c r="AJ25" s="3">
        <f t="shared" si="16"/>
        <v>9.9849008815936877E-2</v>
      </c>
      <c r="AK25">
        <v>2250</v>
      </c>
      <c r="AL25" s="3">
        <f t="shared" si="17"/>
        <v>0.3767582049564635</v>
      </c>
      <c r="AM25">
        <v>4300</v>
      </c>
      <c r="AN25" s="3">
        <f t="shared" si="18"/>
        <v>0.57998381440517943</v>
      </c>
      <c r="AO25">
        <v>2400</v>
      </c>
      <c r="AP25" s="3">
        <f t="shared" si="19"/>
        <v>0.63274452939625625</v>
      </c>
      <c r="AQ25">
        <v>967</v>
      </c>
      <c r="AR25" s="3">
        <f t="shared" si="20"/>
        <v>1</v>
      </c>
      <c r="AS25">
        <v>0</v>
      </c>
      <c r="AT25" s="3">
        <f t="shared" si="21"/>
        <v>0</v>
      </c>
      <c r="AU25">
        <v>11</v>
      </c>
      <c r="AV25" s="3">
        <f t="shared" si="22"/>
        <v>0.21568627450980393</v>
      </c>
      <c r="AW25">
        <v>0</v>
      </c>
      <c r="AX25" s="3">
        <f t="shared" si="23"/>
        <v>0</v>
      </c>
      <c r="AY25">
        <v>2</v>
      </c>
      <c r="AZ25" s="3">
        <f t="shared" si="24"/>
        <v>2.4691358024691357E-2</v>
      </c>
      <c r="BA25">
        <v>76</v>
      </c>
      <c r="BB25" s="3">
        <f t="shared" si="25"/>
        <v>1</v>
      </c>
      <c r="BC25">
        <v>438</v>
      </c>
      <c r="BD25" s="3">
        <f t="shared" si="26"/>
        <v>1</v>
      </c>
      <c r="BE25">
        <v>25</v>
      </c>
      <c r="BF25" s="3">
        <f t="shared" si="27"/>
        <v>0.54347826086956519</v>
      </c>
      <c r="BG25">
        <v>100</v>
      </c>
      <c r="BH25" s="3">
        <f t="shared" si="28"/>
        <v>9.8911968348170128E-6</v>
      </c>
      <c r="BI25">
        <v>15000</v>
      </c>
      <c r="BJ25" s="3">
        <f t="shared" si="29"/>
        <v>7.894736842105263E-4</v>
      </c>
      <c r="BK25">
        <v>0</v>
      </c>
      <c r="BL25" s="3">
        <f t="shared" si="30"/>
        <v>0</v>
      </c>
      <c r="BM25">
        <v>14000000</v>
      </c>
      <c r="BN25" s="3">
        <f t="shared" si="31"/>
        <v>1.7371882367539396E-2</v>
      </c>
      <c r="BO25">
        <v>158</v>
      </c>
      <c r="BP25" s="3">
        <f t="shared" si="32"/>
        <v>2.4637455169187587E-2</v>
      </c>
      <c r="BQ25">
        <v>8</v>
      </c>
      <c r="BR25" s="3">
        <f t="shared" si="33"/>
        <v>0.33333333333333331</v>
      </c>
      <c r="BS25">
        <v>25554</v>
      </c>
      <c r="BT25" s="3">
        <f t="shared" si="34"/>
        <v>3.8796892483386751E-3</v>
      </c>
      <c r="BU25">
        <v>5242</v>
      </c>
      <c r="BV25" s="3">
        <f t="shared" si="35"/>
        <v>2.3319335207658637E-2</v>
      </c>
      <c r="BW25">
        <v>82</v>
      </c>
      <c r="BX25" s="3">
        <f t="shared" si="36"/>
        <v>6.0682305927625248E-3</v>
      </c>
      <c r="BY25">
        <v>7500</v>
      </c>
      <c r="BZ25" s="3">
        <f t="shared" si="37"/>
        <v>1.2759441987070432E-2</v>
      </c>
      <c r="CA25" s="1">
        <v>5000</v>
      </c>
      <c r="CB25">
        <v>6000</v>
      </c>
      <c r="CC25" s="3">
        <f t="shared" si="38"/>
        <v>1.9404915912031048E-3</v>
      </c>
      <c r="CD25">
        <v>40000</v>
      </c>
      <c r="CE25" s="3">
        <f t="shared" si="39"/>
        <v>1.8805829807240243E-3</v>
      </c>
      <c r="CF25" s="2">
        <v>120538</v>
      </c>
      <c r="CG25" s="3">
        <f t="shared" si="40"/>
        <v>0.99295026939026831</v>
      </c>
      <c r="CH25" s="2">
        <v>2495</v>
      </c>
      <c r="CI25" s="3">
        <f t="shared" si="41"/>
        <v>0.98765340459224071</v>
      </c>
      <c r="CJ25" s="2">
        <v>1607</v>
      </c>
      <c r="CK25" s="3">
        <f t="shared" si="42"/>
        <v>0.92844102061717948</v>
      </c>
      <c r="CL25" s="1">
        <v>2250</v>
      </c>
    </row>
    <row r="26" spans="1:90" x14ac:dyDescent="0.3">
      <c r="A26" t="s">
        <v>94</v>
      </c>
      <c r="B26" t="s">
        <v>95</v>
      </c>
      <c r="C26">
        <v>24</v>
      </c>
      <c r="D26" s="9">
        <f t="shared" si="1"/>
        <v>11</v>
      </c>
      <c r="E26" s="9">
        <f t="shared" si="0"/>
        <v>6.6664772353586228</v>
      </c>
      <c r="F26" s="1">
        <v>28160273</v>
      </c>
      <c r="G26">
        <v>15300000</v>
      </c>
      <c r="H26" s="3">
        <f t="shared" si="2"/>
        <v>2.0400000000000001E-2</v>
      </c>
      <c r="I26">
        <v>14000000</v>
      </c>
      <c r="J26" s="3">
        <f t="shared" si="3"/>
        <v>2.2617124394184167E-2</v>
      </c>
      <c r="K26">
        <v>510000</v>
      </c>
      <c r="L26" s="3">
        <f t="shared" si="4"/>
        <v>2.2270742358078601E-2</v>
      </c>
      <c r="M26">
        <v>256000</v>
      </c>
      <c r="N26" s="3">
        <f t="shared" si="5"/>
        <v>3.9720713731574861E-2</v>
      </c>
      <c r="O26">
        <v>231000</v>
      </c>
      <c r="P26" s="3">
        <f t="shared" si="6"/>
        <v>0.10221238938053097</v>
      </c>
      <c r="Q26">
        <v>25000</v>
      </c>
      <c r="R26" s="3">
        <f t="shared" si="7"/>
        <v>4.5454545454545452E-3</v>
      </c>
      <c r="S26">
        <v>790</v>
      </c>
      <c r="T26" s="3">
        <f t="shared" si="8"/>
        <v>5.7404447028048249E-2</v>
      </c>
      <c r="U26">
        <v>177</v>
      </c>
      <c r="V26" s="3">
        <f t="shared" si="9"/>
        <v>7.7090592334494779E-2</v>
      </c>
      <c r="W26">
        <v>245</v>
      </c>
      <c r="X26" s="3">
        <f t="shared" si="10"/>
        <v>8.7971274685816878E-2</v>
      </c>
      <c r="Y26">
        <v>221</v>
      </c>
      <c r="Z26" s="3">
        <f t="shared" si="11"/>
        <v>3.8508450949642795E-2</v>
      </c>
      <c r="AA26">
        <v>243</v>
      </c>
      <c r="AB26" s="3">
        <f t="shared" si="12"/>
        <v>8.5835393853761918E-2</v>
      </c>
      <c r="AC26">
        <v>227</v>
      </c>
      <c r="AD26" s="3">
        <f t="shared" si="13"/>
        <v>3.7427864798021432E-2</v>
      </c>
      <c r="AE26">
        <v>21</v>
      </c>
      <c r="AF26" s="3">
        <f t="shared" si="14"/>
        <v>2.2175290390707498E-2</v>
      </c>
      <c r="AG26">
        <v>1142</v>
      </c>
      <c r="AH26" s="3">
        <f t="shared" si="15"/>
        <v>5.6489908982983776E-2</v>
      </c>
      <c r="AI26">
        <v>5472</v>
      </c>
      <c r="AJ26" s="3">
        <f t="shared" si="16"/>
        <v>0.13326189664409915</v>
      </c>
      <c r="AK26">
        <v>524</v>
      </c>
      <c r="AL26" s="3">
        <f t="shared" si="17"/>
        <v>8.7742799732083057E-2</v>
      </c>
      <c r="AM26">
        <v>432</v>
      </c>
      <c r="AN26" s="3">
        <f t="shared" si="18"/>
        <v>5.8268141354194766E-2</v>
      </c>
      <c r="AO26">
        <v>322</v>
      </c>
      <c r="AP26" s="3">
        <f t="shared" si="19"/>
        <v>8.4893224360664377E-2</v>
      </c>
      <c r="AQ26">
        <v>55</v>
      </c>
      <c r="AR26" s="3">
        <f t="shared" si="20"/>
        <v>5.6876938986556359E-2</v>
      </c>
      <c r="AS26">
        <v>0</v>
      </c>
      <c r="AT26" s="3">
        <f t="shared" si="21"/>
        <v>0</v>
      </c>
      <c r="AU26">
        <v>7</v>
      </c>
      <c r="AV26" s="3">
        <f t="shared" si="22"/>
        <v>0.13725490196078433</v>
      </c>
      <c r="AW26">
        <v>0</v>
      </c>
      <c r="AX26" s="3">
        <f t="shared" si="23"/>
        <v>0</v>
      </c>
      <c r="AY26">
        <v>4</v>
      </c>
      <c r="AZ26" s="3">
        <f t="shared" si="24"/>
        <v>4.9382716049382713E-2</v>
      </c>
      <c r="BA26">
        <v>0</v>
      </c>
      <c r="BB26" s="3">
        <f t="shared" si="25"/>
        <v>0</v>
      </c>
      <c r="BC26">
        <v>11</v>
      </c>
      <c r="BD26" s="3">
        <f t="shared" si="26"/>
        <v>2.5114155251141551E-2</v>
      </c>
      <c r="BE26">
        <v>3</v>
      </c>
      <c r="BF26" s="3">
        <f t="shared" si="27"/>
        <v>6.5217391304347824E-2</v>
      </c>
      <c r="BG26">
        <v>9735000</v>
      </c>
      <c r="BH26" s="3">
        <f t="shared" si="28"/>
        <v>0.9629080118694362</v>
      </c>
      <c r="BI26">
        <v>3000000</v>
      </c>
      <c r="BJ26" s="3">
        <f t="shared" si="29"/>
        <v>0.15789473684210525</v>
      </c>
      <c r="BK26">
        <v>269000000000</v>
      </c>
      <c r="BL26" s="3">
        <f t="shared" si="30"/>
        <v>0.89666666666666661</v>
      </c>
      <c r="BM26">
        <v>12020000</v>
      </c>
      <c r="BN26" s="3">
        <f t="shared" si="31"/>
        <v>1.4915001861273111E-2</v>
      </c>
      <c r="BO26">
        <v>72</v>
      </c>
      <c r="BP26" s="3">
        <f t="shared" si="32"/>
        <v>1.1227194760642444E-2</v>
      </c>
      <c r="BQ26">
        <v>4</v>
      </c>
      <c r="BR26" s="3">
        <f t="shared" si="33"/>
        <v>0.16666666666666666</v>
      </c>
      <c r="BS26">
        <v>221372</v>
      </c>
      <c r="BT26" s="3">
        <f t="shared" si="34"/>
        <v>3.3609398461424009E-2</v>
      </c>
      <c r="BU26">
        <v>1378</v>
      </c>
      <c r="BV26" s="3">
        <f t="shared" si="35"/>
        <v>6.130111391864479E-3</v>
      </c>
      <c r="BW26">
        <v>214</v>
      </c>
      <c r="BX26" s="3">
        <f t="shared" si="36"/>
        <v>1.5836601790868054E-2</v>
      </c>
      <c r="BY26">
        <v>56725</v>
      </c>
      <c r="BZ26" s="3">
        <f t="shared" si="37"/>
        <v>9.6503912895542707E-2</v>
      </c>
      <c r="CA26" s="1">
        <v>200900</v>
      </c>
      <c r="CB26">
        <v>553700</v>
      </c>
      <c r="CC26" s="3">
        <f t="shared" si="38"/>
        <v>0.17907503234152652</v>
      </c>
      <c r="CD26">
        <v>1731000</v>
      </c>
      <c r="CE26" s="3">
        <f t="shared" si="39"/>
        <v>8.1382228490832154E-2</v>
      </c>
      <c r="CF26" s="2">
        <v>2149690</v>
      </c>
      <c r="CG26" s="3">
        <f t="shared" si="40"/>
        <v>0.87427420900932384</v>
      </c>
      <c r="CH26" s="2">
        <v>2640</v>
      </c>
      <c r="CI26" s="3">
        <f t="shared" si="41"/>
        <v>0.98693586698337288</v>
      </c>
      <c r="CJ26" s="2">
        <v>4272</v>
      </c>
      <c r="CK26" s="3">
        <f t="shared" si="42"/>
        <v>0.80976978225052321</v>
      </c>
      <c r="CL26" s="1" t="s">
        <v>77</v>
      </c>
    </row>
    <row r="27" spans="1:90" x14ac:dyDescent="0.3">
      <c r="A27" t="s">
        <v>96</v>
      </c>
      <c r="B27" t="s">
        <v>97</v>
      </c>
      <c r="C27">
        <v>25</v>
      </c>
      <c r="D27" s="9">
        <f t="shared" si="1"/>
        <v>22</v>
      </c>
      <c r="E27" s="9">
        <f t="shared" si="0"/>
        <v>5.0333569567205245</v>
      </c>
      <c r="F27" s="1">
        <v>40263711</v>
      </c>
      <c r="G27">
        <v>20400000</v>
      </c>
      <c r="H27" s="3">
        <f t="shared" si="2"/>
        <v>2.7199999999999998E-2</v>
      </c>
      <c r="I27">
        <v>17250000</v>
      </c>
      <c r="J27" s="3">
        <f t="shared" si="3"/>
        <v>2.7867528271405494E-2</v>
      </c>
      <c r="K27">
        <v>675000</v>
      </c>
      <c r="L27" s="3">
        <f t="shared" si="4"/>
        <v>2.9475982532751091E-2</v>
      </c>
      <c r="M27">
        <v>792350</v>
      </c>
      <c r="N27" s="3">
        <f t="shared" si="5"/>
        <v>0.12294026377036463</v>
      </c>
      <c r="O27">
        <v>520000</v>
      </c>
      <c r="P27" s="3">
        <f t="shared" si="6"/>
        <v>0.23008849557522124</v>
      </c>
      <c r="Q27">
        <v>272350</v>
      </c>
      <c r="R27" s="3">
        <f t="shared" si="7"/>
        <v>4.9518181818181815E-2</v>
      </c>
      <c r="S27">
        <v>502</v>
      </c>
      <c r="T27" s="3">
        <f t="shared" si="8"/>
        <v>3.6477256212759775E-2</v>
      </c>
      <c r="U27">
        <v>89</v>
      </c>
      <c r="V27" s="3">
        <f t="shared" si="9"/>
        <v>3.8763066202090593E-2</v>
      </c>
      <c r="W27">
        <v>99</v>
      </c>
      <c r="X27" s="3">
        <f t="shared" si="10"/>
        <v>3.5547576301615799E-2</v>
      </c>
      <c r="Y27">
        <v>266</v>
      </c>
      <c r="Z27" s="3">
        <f t="shared" si="11"/>
        <v>4.6349538247081372E-2</v>
      </c>
      <c r="AA27">
        <v>68</v>
      </c>
      <c r="AB27" s="3">
        <f t="shared" si="12"/>
        <v>2.4019780996114449E-2</v>
      </c>
      <c r="AC27">
        <v>257</v>
      </c>
      <c r="AD27" s="3">
        <f t="shared" si="13"/>
        <v>4.2374278647980212E-2</v>
      </c>
      <c r="AE27">
        <v>38</v>
      </c>
      <c r="AF27" s="3">
        <f t="shared" si="14"/>
        <v>4.0126715945089757E-2</v>
      </c>
      <c r="AG27">
        <v>2405</v>
      </c>
      <c r="AH27" s="3">
        <f t="shared" si="15"/>
        <v>0.11896517609814009</v>
      </c>
      <c r="AI27">
        <v>6754</v>
      </c>
      <c r="AJ27" s="3">
        <f t="shared" si="16"/>
        <v>0.16448297696166772</v>
      </c>
      <c r="AK27">
        <v>220</v>
      </c>
      <c r="AL27" s="3">
        <f t="shared" si="17"/>
        <v>3.6838580040187544E-2</v>
      </c>
      <c r="AM27">
        <v>270</v>
      </c>
      <c r="AN27" s="3">
        <f t="shared" si="18"/>
        <v>3.6417588346371731E-2</v>
      </c>
      <c r="AO27">
        <v>176</v>
      </c>
      <c r="AP27" s="3">
        <f t="shared" si="19"/>
        <v>4.6401265489058791E-2</v>
      </c>
      <c r="AQ27">
        <v>85</v>
      </c>
      <c r="AR27" s="3">
        <f t="shared" si="20"/>
        <v>8.790072388831438E-2</v>
      </c>
      <c r="AS27">
        <v>0</v>
      </c>
      <c r="AT27" s="3">
        <f t="shared" si="21"/>
        <v>0</v>
      </c>
      <c r="AU27">
        <v>8</v>
      </c>
      <c r="AV27" s="3">
        <f t="shared" si="22"/>
        <v>0.15686274509803921</v>
      </c>
      <c r="AW27">
        <v>0</v>
      </c>
      <c r="AX27" s="3">
        <f t="shared" si="23"/>
        <v>0</v>
      </c>
      <c r="AY27">
        <v>13</v>
      </c>
      <c r="AZ27" s="3">
        <f t="shared" si="24"/>
        <v>0.16049382716049382</v>
      </c>
      <c r="BA27">
        <v>6</v>
      </c>
      <c r="BB27" s="3">
        <f t="shared" si="25"/>
        <v>7.8947368421052627E-2</v>
      </c>
      <c r="BC27">
        <v>43</v>
      </c>
      <c r="BD27" s="3">
        <f t="shared" si="26"/>
        <v>9.8173515981735154E-2</v>
      </c>
      <c r="BE27">
        <v>1</v>
      </c>
      <c r="BF27" s="3">
        <f t="shared" si="27"/>
        <v>2.1739130434782608E-2</v>
      </c>
      <c r="BG27">
        <v>1370000</v>
      </c>
      <c r="BH27" s="3">
        <f t="shared" si="28"/>
        <v>0.13550939663699307</v>
      </c>
      <c r="BI27">
        <v>350000</v>
      </c>
      <c r="BJ27" s="3">
        <f t="shared" si="29"/>
        <v>1.8421052631578946E-2</v>
      </c>
      <c r="BK27">
        <v>12000000000</v>
      </c>
      <c r="BL27" s="3">
        <f t="shared" si="30"/>
        <v>0.04</v>
      </c>
      <c r="BM27">
        <v>11780000</v>
      </c>
      <c r="BN27" s="3">
        <f t="shared" si="31"/>
        <v>1.4617198163543864E-2</v>
      </c>
      <c r="BO27">
        <v>38</v>
      </c>
      <c r="BP27" s="3">
        <f t="shared" si="32"/>
        <v>5.925463901450179E-3</v>
      </c>
      <c r="BQ27">
        <v>9</v>
      </c>
      <c r="BR27" s="3">
        <f t="shared" si="33"/>
        <v>0.375</v>
      </c>
      <c r="BS27">
        <v>111261</v>
      </c>
      <c r="BT27" s="3">
        <f t="shared" si="34"/>
        <v>1.6891997552610522E-2</v>
      </c>
      <c r="BU27">
        <v>3973</v>
      </c>
      <c r="BV27" s="3">
        <f t="shared" si="35"/>
        <v>1.7674116516602015E-2</v>
      </c>
      <c r="BW27">
        <v>157</v>
      </c>
      <c r="BX27" s="3">
        <f t="shared" si="36"/>
        <v>1.1618441500777029E-2</v>
      </c>
      <c r="BY27">
        <v>10570</v>
      </c>
      <c r="BZ27" s="3">
        <f t="shared" si="37"/>
        <v>1.7982306907111261E-2</v>
      </c>
      <c r="CA27" s="1">
        <v>5934</v>
      </c>
      <c r="CB27">
        <v>115000</v>
      </c>
      <c r="CC27" s="3">
        <f t="shared" si="38"/>
        <v>3.7192755498059511E-2</v>
      </c>
      <c r="CD27">
        <v>609400</v>
      </c>
      <c r="CE27" s="3">
        <f t="shared" si="39"/>
        <v>2.8650681711330513E-2</v>
      </c>
      <c r="CF27" s="2">
        <v>2381741</v>
      </c>
      <c r="CG27" s="3">
        <f t="shared" si="40"/>
        <v>0.86070257983247633</v>
      </c>
      <c r="CH27" s="2">
        <v>998</v>
      </c>
      <c r="CI27" s="3">
        <f t="shared" si="41"/>
        <v>0.99506136183689631</v>
      </c>
      <c r="CJ27" s="2">
        <v>6734</v>
      </c>
      <c r="CK27" s="3">
        <f t="shared" si="42"/>
        <v>0.70013804159059534</v>
      </c>
      <c r="CL27" s="1" t="s">
        <v>77</v>
      </c>
    </row>
    <row r="28" spans="1:90" x14ac:dyDescent="0.3">
      <c r="A28" t="s">
        <v>98</v>
      </c>
      <c r="B28" t="s">
        <v>99</v>
      </c>
      <c r="C28">
        <v>26</v>
      </c>
      <c r="D28" s="9">
        <f t="shared" si="1"/>
        <v>48</v>
      </c>
      <c r="E28" s="9">
        <f t="shared" si="0"/>
        <v>4.0430335228883703</v>
      </c>
      <c r="F28" s="1">
        <v>35362905</v>
      </c>
      <c r="G28">
        <v>16000000</v>
      </c>
      <c r="H28" s="3">
        <f t="shared" si="2"/>
        <v>2.1333333333333333E-2</v>
      </c>
      <c r="I28">
        <v>13025000</v>
      </c>
      <c r="J28" s="3">
        <f t="shared" si="3"/>
        <v>2.1042003231017771E-2</v>
      </c>
      <c r="K28">
        <v>425000</v>
      </c>
      <c r="L28" s="3">
        <f t="shared" si="4"/>
        <v>1.8558951965065504E-2</v>
      </c>
      <c r="M28">
        <v>111250</v>
      </c>
      <c r="N28" s="3">
        <f t="shared" si="5"/>
        <v>1.7261442979053531E-2</v>
      </c>
      <c r="O28">
        <v>79000</v>
      </c>
      <c r="P28" s="3">
        <f t="shared" si="6"/>
        <v>3.4955752212389384E-2</v>
      </c>
      <c r="Q28">
        <v>32250</v>
      </c>
      <c r="R28" s="3">
        <f t="shared" si="7"/>
        <v>5.8636363636363634E-3</v>
      </c>
      <c r="S28">
        <v>414</v>
      </c>
      <c r="T28" s="3">
        <f t="shared" si="8"/>
        <v>3.0082836796977184E-2</v>
      </c>
      <c r="U28">
        <v>60</v>
      </c>
      <c r="V28" s="3">
        <f t="shared" si="9"/>
        <v>2.6132404181184669E-2</v>
      </c>
      <c r="W28">
        <v>64</v>
      </c>
      <c r="X28" s="3">
        <f t="shared" si="10"/>
        <v>2.2980251346499104E-2</v>
      </c>
      <c r="Y28">
        <v>215</v>
      </c>
      <c r="Z28" s="3">
        <f t="shared" si="11"/>
        <v>3.7462972643317653E-2</v>
      </c>
      <c r="AA28">
        <v>141</v>
      </c>
      <c r="AB28" s="3">
        <f t="shared" si="12"/>
        <v>4.980572235959025E-2</v>
      </c>
      <c r="AC28">
        <v>168</v>
      </c>
      <c r="AD28" s="3">
        <f t="shared" si="13"/>
        <v>2.7699917559769166E-2</v>
      </c>
      <c r="AE28">
        <v>0</v>
      </c>
      <c r="AF28" s="3">
        <f t="shared" si="14"/>
        <v>0</v>
      </c>
      <c r="AG28">
        <v>80</v>
      </c>
      <c r="AH28" s="3">
        <f t="shared" si="15"/>
        <v>3.9572615749901069E-3</v>
      </c>
      <c r="AI28">
        <v>3004</v>
      </c>
      <c r="AJ28" s="3">
        <f t="shared" si="16"/>
        <v>7.3157664020262039E-2</v>
      </c>
      <c r="AK28">
        <v>0</v>
      </c>
      <c r="AL28" s="3">
        <f t="shared" si="17"/>
        <v>0</v>
      </c>
      <c r="AM28">
        <v>161</v>
      </c>
      <c r="AN28" s="3">
        <f t="shared" si="18"/>
        <v>2.1715673050984624E-2</v>
      </c>
      <c r="AO28">
        <v>0</v>
      </c>
      <c r="AP28" s="3">
        <f t="shared" si="19"/>
        <v>0</v>
      </c>
      <c r="AQ28">
        <v>63</v>
      </c>
      <c r="AR28" s="3">
        <f t="shared" si="20"/>
        <v>6.5149948293691834E-2</v>
      </c>
      <c r="AS28">
        <v>0</v>
      </c>
      <c r="AT28" s="3">
        <f t="shared" si="21"/>
        <v>0</v>
      </c>
      <c r="AU28">
        <v>12</v>
      </c>
      <c r="AV28" s="3">
        <f t="shared" si="22"/>
        <v>0.23529411764705882</v>
      </c>
      <c r="AW28">
        <v>0</v>
      </c>
      <c r="AX28" s="3">
        <f t="shared" si="23"/>
        <v>0</v>
      </c>
      <c r="AY28">
        <v>0</v>
      </c>
      <c r="AZ28" s="3">
        <f t="shared" si="24"/>
        <v>0</v>
      </c>
      <c r="BA28">
        <v>4</v>
      </c>
      <c r="BB28" s="3">
        <f t="shared" si="25"/>
        <v>5.2631578947368418E-2</v>
      </c>
      <c r="BC28">
        <v>20</v>
      </c>
      <c r="BD28" s="3">
        <f t="shared" si="26"/>
        <v>4.5662100456621002E-2</v>
      </c>
      <c r="BE28">
        <v>0</v>
      </c>
      <c r="BF28" s="3">
        <f t="shared" si="27"/>
        <v>0</v>
      </c>
      <c r="BG28">
        <v>3603000</v>
      </c>
      <c r="BH28" s="3">
        <f t="shared" si="28"/>
        <v>0.35637982195845697</v>
      </c>
      <c r="BI28">
        <v>2430000</v>
      </c>
      <c r="BJ28" s="3">
        <f t="shared" si="29"/>
        <v>0.12789473684210526</v>
      </c>
      <c r="BK28">
        <v>171000000000</v>
      </c>
      <c r="BL28" s="3">
        <f t="shared" si="30"/>
        <v>0.56999999999999995</v>
      </c>
      <c r="BM28">
        <v>19420000</v>
      </c>
      <c r="BN28" s="3">
        <f t="shared" si="31"/>
        <v>2.409728254125822E-2</v>
      </c>
      <c r="BO28">
        <v>181</v>
      </c>
      <c r="BP28" s="3">
        <f t="shared" si="32"/>
        <v>2.8223920162170592E-2</v>
      </c>
      <c r="BQ28">
        <v>12</v>
      </c>
      <c r="BR28" s="3">
        <f t="shared" si="33"/>
        <v>0.5</v>
      </c>
      <c r="BS28">
        <v>1042300</v>
      </c>
      <c r="BT28" s="3">
        <f t="shared" si="34"/>
        <v>0.15824528854752293</v>
      </c>
      <c r="BU28">
        <v>46552</v>
      </c>
      <c r="BV28" s="3">
        <f t="shared" si="35"/>
        <v>0.20708922025694865</v>
      </c>
      <c r="BW28">
        <v>1467</v>
      </c>
      <c r="BX28" s="3">
        <f t="shared" si="36"/>
        <v>0.10856212536076371</v>
      </c>
      <c r="BY28">
        <v>15500</v>
      </c>
      <c r="BZ28" s="3">
        <f t="shared" si="37"/>
        <v>2.636951343994556E-2</v>
      </c>
      <c r="CA28" s="1">
        <v>1608000</v>
      </c>
      <c r="CB28">
        <v>82500</v>
      </c>
      <c r="CC28" s="3">
        <f t="shared" si="38"/>
        <v>2.6681759379042692E-2</v>
      </c>
      <c r="CD28">
        <v>1674000</v>
      </c>
      <c r="CE28" s="3">
        <f t="shared" si="39"/>
        <v>7.8702397743300428E-2</v>
      </c>
      <c r="CF28" s="2">
        <v>9984670</v>
      </c>
      <c r="CG28" s="3">
        <f t="shared" si="40"/>
        <v>0.41604113452131508</v>
      </c>
      <c r="CH28" s="2">
        <v>202080</v>
      </c>
      <c r="CI28" s="3">
        <f t="shared" si="41"/>
        <v>0</v>
      </c>
      <c r="CJ28" s="2">
        <v>8893</v>
      </c>
      <c r="CK28" s="3">
        <f t="shared" si="42"/>
        <v>0.60399875317273011</v>
      </c>
      <c r="CL28" s="1">
        <v>636</v>
      </c>
    </row>
    <row r="29" spans="1:90" x14ac:dyDescent="0.3">
      <c r="A29" t="s">
        <v>100</v>
      </c>
      <c r="B29" t="s">
        <v>101</v>
      </c>
      <c r="C29">
        <v>27</v>
      </c>
      <c r="D29" s="9">
        <f t="shared" si="1"/>
        <v>29</v>
      </c>
      <c r="E29" s="9">
        <f t="shared" si="0"/>
        <v>4.7618339201298605</v>
      </c>
      <c r="F29" s="1">
        <v>48563476</v>
      </c>
      <c r="G29">
        <v>23000000</v>
      </c>
      <c r="H29" s="3">
        <f t="shared" si="2"/>
        <v>3.0666666666666665E-2</v>
      </c>
      <c r="I29">
        <v>18725000</v>
      </c>
      <c r="J29" s="3">
        <f t="shared" si="3"/>
        <v>3.0250403877221325E-2</v>
      </c>
      <c r="K29">
        <v>423000</v>
      </c>
      <c r="L29" s="3">
        <f t="shared" si="4"/>
        <v>1.8471615720524019E-2</v>
      </c>
      <c r="M29">
        <v>174700</v>
      </c>
      <c r="N29" s="3">
        <f t="shared" si="5"/>
        <v>2.7106283941039564E-2</v>
      </c>
      <c r="O29">
        <v>124100</v>
      </c>
      <c r="P29" s="3">
        <f t="shared" si="6"/>
        <v>5.4911504424778761E-2</v>
      </c>
      <c r="Q29">
        <v>50600</v>
      </c>
      <c r="R29" s="3">
        <f t="shared" si="7"/>
        <v>9.1999999999999998E-3</v>
      </c>
      <c r="S29">
        <v>533</v>
      </c>
      <c r="T29" s="3">
        <f t="shared" si="8"/>
        <v>3.8729835779683183E-2</v>
      </c>
      <c r="U29">
        <v>109</v>
      </c>
      <c r="V29" s="3">
        <f t="shared" si="9"/>
        <v>4.7473867595818814E-2</v>
      </c>
      <c r="W29">
        <v>108</v>
      </c>
      <c r="X29" s="3">
        <f t="shared" si="10"/>
        <v>3.8779174147217238E-2</v>
      </c>
      <c r="Y29">
        <v>181</v>
      </c>
      <c r="Z29" s="3">
        <f t="shared" si="11"/>
        <v>3.1538595574141834E-2</v>
      </c>
      <c r="AA29">
        <v>171</v>
      </c>
      <c r="AB29" s="3">
        <f t="shared" si="12"/>
        <v>6.0402684563758392E-2</v>
      </c>
      <c r="AC29">
        <v>173</v>
      </c>
      <c r="AD29" s="3">
        <f t="shared" si="13"/>
        <v>2.8524319868095629E-2</v>
      </c>
      <c r="AE29">
        <v>10</v>
      </c>
      <c r="AF29" s="3">
        <f t="shared" si="14"/>
        <v>1.0559662090813094E-2</v>
      </c>
      <c r="AG29">
        <v>327</v>
      </c>
      <c r="AH29" s="3">
        <f t="shared" si="15"/>
        <v>1.6175306687772062E-2</v>
      </c>
      <c r="AI29">
        <v>2493</v>
      </c>
      <c r="AJ29" s="3">
        <f t="shared" si="16"/>
        <v>6.0713068043446498E-2</v>
      </c>
      <c r="AK29">
        <v>96</v>
      </c>
      <c r="AL29" s="3">
        <f t="shared" si="17"/>
        <v>1.6075016744809108E-2</v>
      </c>
      <c r="AM29">
        <v>143</v>
      </c>
      <c r="AN29" s="3">
        <f t="shared" si="18"/>
        <v>1.9287833827893175E-2</v>
      </c>
      <c r="AO29">
        <v>0</v>
      </c>
      <c r="AP29" s="3">
        <f t="shared" si="19"/>
        <v>0</v>
      </c>
      <c r="AQ29">
        <v>46</v>
      </c>
      <c r="AR29" s="3">
        <f t="shared" si="20"/>
        <v>4.7569803516028956E-2</v>
      </c>
      <c r="AS29">
        <v>2</v>
      </c>
      <c r="AT29" s="3">
        <f t="shared" si="21"/>
        <v>0.10526315789473684</v>
      </c>
      <c r="AU29">
        <v>12</v>
      </c>
      <c r="AV29" s="3">
        <f t="shared" si="22"/>
        <v>0.23529411764705882</v>
      </c>
      <c r="AW29">
        <v>0</v>
      </c>
      <c r="AX29" s="3">
        <f t="shared" si="23"/>
        <v>0</v>
      </c>
      <c r="AY29">
        <v>0</v>
      </c>
      <c r="AZ29" s="3">
        <f t="shared" si="24"/>
        <v>0</v>
      </c>
      <c r="BA29">
        <v>3</v>
      </c>
      <c r="BB29" s="3">
        <f t="shared" si="25"/>
        <v>3.9473684210526314E-2</v>
      </c>
      <c r="BC29">
        <v>8</v>
      </c>
      <c r="BD29" s="3">
        <f t="shared" si="26"/>
        <v>1.8264840182648401E-2</v>
      </c>
      <c r="BE29">
        <v>6</v>
      </c>
      <c r="BF29" s="3">
        <f t="shared" si="27"/>
        <v>0.13043478260869565</v>
      </c>
      <c r="BG29">
        <v>6420</v>
      </c>
      <c r="BH29" s="3">
        <f t="shared" si="28"/>
        <v>6.3501483679525227E-4</v>
      </c>
      <c r="BI29">
        <v>1205000</v>
      </c>
      <c r="BJ29" s="3">
        <f t="shared" si="29"/>
        <v>6.3421052631578947E-2</v>
      </c>
      <c r="BK29">
        <v>150000000</v>
      </c>
      <c r="BL29" s="3">
        <f t="shared" si="30"/>
        <v>5.0000000000000001E-4</v>
      </c>
      <c r="BM29">
        <v>22890000</v>
      </c>
      <c r="BN29" s="3">
        <f t="shared" si="31"/>
        <v>2.8403027670926916E-2</v>
      </c>
      <c r="BO29">
        <v>132</v>
      </c>
      <c r="BP29" s="3">
        <f t="shared" si="32"/>
        <v>2.0583190394511151E-2</v>
      </c>
      <c r="BQ29">
        <v>9</v>
      </c>
      <c r="BR29" s="3">
        <f t="shared" si="33"/>
        <v>0.375</v>
      </c>
      <c r="BS29">
        <v>681298</v>
      </c>
      <c r="BT29" s="3">
        <f t="shared" si="34"/>
        <v>0.10343682106576828</v>
      </c>
      <c r="BU29">
        <v>15293</v>
      </c>
      <c r="BV29" s="3">
        <f t="shared" si="35"/>
        <v>6.8031780490408908E-2</v>
      </c>
      <c r="BW29">
        <v>150</v>
      </c>
      <c r="BX29" s="3">
        <f t="shared" si="36"/>
        <v>1.1100421816029009E-2</v>
      </c>
      <c r="BY29">
        <v>11600</v>
      </c>
      <c r="BZ29" s="3">
        <f t="shared" si="37"/>
        <v>1.9734603606668934E-2</v>
      </c>
      <c r="CA29" s="1">
        <v>2094000</v>
      </c>
      <c r="CB29">
        <v>53970</v>
      </c>
      <c r="CC29" s="3">
        <f t="shared" si="38"/>
        <v>1.7454721862871926E-2</v>
      </c>
      <c r="CD29">
        <v>1690000</v>
      </c>
      <c r="CE29" s="3">
        <f t="shared" si="39"/>
        <v>7.9454630935590034E-2</v>
      </c>
      <c r="CF29" s="2">
        <v>505370</v>
      </c>
      <c r="CG29" s="3">
        <f t="shared" si="40"/>
        <v>0.97044316017985943</v>
      </c>
      <c r="CH29" s="2">
        <v>4964</v>
      </c>
      <c r="CI29" s="3">
        <f t="shared" si="41"/>
        <v>0.97543547110055429</v>
      </c>
      <c r="CJ29" s="2">
        <v>1953</v>
      </c>
      <c r="CK29" s="3">
        <f t="shared" si="42"/>
        <v>0.91303379792492323</v>
      </c>
      <c r="CL29" s="1">
        <v>1000</v>
      </c>
    </row>
    <row r="30" spans="1:90" x14ac:dyDescent="0.3">
      <c r="A30" t="s">
        <v>102</v>
      </c>
      <c r="B30" t="s">
        <v>103</v>
      </c>
      <c r="C30">
        <v>28</v>
      </c>
      <c r="D30" s="9">
        <f t="shared" si="1"/>
        <v>24</v>
      </c>
      <c r="E30" s="9">
        <f t="shared" si="0"/>
        <v>4.8889345513593581</v>
      </c>
      <c r="F30" s="1">
        <v>10773253</v>
      </c>
      <c r="G30">
        <v>5000000</v>
      </c>
      <c r="H30" s="3">
        <f t="shared" si="2"/>
        <v>6.6666666666666671E-3</v>
      </c>
      <c r="I30">
        <v>4050000</v>
      </c>
      <c r="J30" s="3">
        <f t="shared" si="3"/>
        <v>6.5428109854604203E-3</v>
      </c>
      <c r="K30">
        <v>105000</v>
      </c>
      <c r="L30" s="3">
        <f t="shared" si="4"/>
        <v>4.5851528384279472E-3</v>
      </c>
      <c r="M30">
        <v>413750</v>
      </c>
      <c r="N30" s="3">
        <f t="shared" si="5"/>
        <v>6.4197051978277742E-2</v>
      </c>
      <c r="O30">
        <v>161500</v>
      </c>
      <c r="P30" s="3">
        <f t="shared" si="6"/>
        <v>7.146017699115044E-2</v>
      </c>
      <c r="Q30">
        <v>252250</v>
      </c>
      <c r="R30" s="3">
        <f t="shared" si="7"/>
        <v>4.5863636363636363E-2</v>
      </c>
      <c r="S30">
        <v>600</v>
      </c>
      <c r="T30" s="3">
        <f t="shared" si="8"/>
        <v>4.359831419851766E-2</v>
      </c>
      <c r="U30">
        <v>206</v>
      </c>
      <c r="V30" s="3">
        <f t="shared" si="9"/>
        <v>8.9721254355400695E-2</v>
      </c>
      <c r="W30">
        <v>206</v>
      </c>
      <c r="X30" s="3">
        <f t="shared" si="10"/>
        <v>7.3967684021543981E-2</v>
      </c>
      <c r="Y30">
        <v>215</v>
      </c>
      <c r="Z30" s="3">
        <f t="shared" si="11"/>
        <v>3.7462972643317653E-2</v>
      </c>
      <c r="AA30">
        <v>146</v>
      </c>
      <c r="AB30" s="3">
        <f t="shared" si="12"/>
        <v>5.1571882726951609E-2</v>
      </c>
      <c r="AC30">
        <v>223</v>
      </c>
      <c r="AD30" s="3">
        <f t="shared" si="13"/>
        <v>3.6768342951360264E-2</v>
      </c>
      <c r="AE30">
        <v>29</v>
      </c>
      <c r="AF30" s="3">
        <f t="shared" si="14"/>
        <v>3.0623020063357972E-2</v>
      </c>
      <c r="AG30">
        <v>1345</v>
      </c>
      <c r="AH30" s="3">
        <f t="shared" si="15"/>
        <v>6.6531460229521167E-2</v>
      </c>
      <c r="AI30">
        <v>4209</v>
      </c>
      <c r="AJ30" s="3">
        <f t="shared" si="16"/>
        <v>0.10250353124543374</v>
      </c>
      <c r="AK30">
        <v>547</v>
      </c>
      <c r="AL30" s="3">
        <f t="shared" si="17"/>
        <v>9.1594105827193573E-2</v>
      </c>
      <c r="AM30">
        <v>463</v>
      </c>
      <c r="AN30" s="3">
        <f t="shared" si="18"/>
        <v>6.2449420016185593E-2</v>
      </c>
      <c r="AO30">
        <v>152</v>
      </c>
      <c r="AP30" s="3">
        <f t="shared" si="19"/>
        <v>4.0073820195096227E-2</v>
      </c>
      <c r="AQ30">
        <v>115</v>
      </c>
      <c r="AR30" s="3">
        <f t="shared" si="20"/>
        <v>0.11892450879007239</v>
      </c>
      <c r="AS30">
        <v>0</v>
      </c>
      <c r="AT30" s="3">
        <f t="shared" si="21"/>
        <v>0</v>
      </c>
      <c r="AU30">
        <v>13</v>
      </c>
      <c r="AV30" s="3">
        <f t="shared" si="22"/>
        <v>0.25490196078431371</v>
      </c>
      <c r="AW30">
        <v>0</v>
      </c>
      <c r="AX30" s="3">
        <f t="shared" si="23"/>
        <v>0</v>
      </c>
      <c r="AY30">
        <v>0</v>
      </c>
      <c r="AZ30" s="3">
        <f t="shared" si="24"/>
        <v>0</v>
      </c>
      <c r="BA30">
        <v>11</v>
      </c>
      <c r="BB30" s="3">
        <f t="shared" si="25"/>
        <v>0.14473684210526316</v>
      </c>
      <c r="BC30">
        <v>25</v>
      </c>
      <c r="BD30" s="3">
        <f t="shared" si="26"/>
        <v>5.7077625570776253E-2</v>
      </c>
      <c r="BE30">
        <v>4</v>
      </c>
      <c r="BF30" s="3">
        <f t="shared" si="27"/>
        <v>8.6956521739130432E-2</v>
      </c>
      <c r="BG30">
        <v>1162</v>
      </c>
      <c r="BH30" s="3">
        <f t="shared" si="28"/>
        <v>1.1493570722057369E-4</v>
      </c>
      <c r="BI30">
        <v>285000</v>
      </c>
      <c r="BJ30" s="3">
        <f t="shared" si="29"/>
        <v>1.4999999999999999E-2</v>
      </c>
      <c r="BK30">
        <v>10000000</v>
      </c>
      <c r="BL30" s="3">
        <f t="shared" si="30"/>
        <v>3.3333333333333335E-5</v>
      </c>
      <c r="BM30">
        <v>4761000</v>
      </c>
      <c r="BN30" s="3">
        <f t="shared" si="31"/>
        <v>5.9076808537039333E-3</v>
      </c>
      <c r="BO30">
        <v>860</v>
      </c>
      <c r="BP30" s="3">
        <f t="shared" si="32"/>
        <v>0.13410260408545144</v>
      </c>
      <c r="BQ30">
        <v>5</v>
      </c>
      <c r="BR30" s="3">
        <f t="shared" si="33"/>
        <v>0.20833333333333334</v>
      </c>
      <c r="BS30">
        <v>116711</v>
      </c>
      <c r="BT30" s="3">
        <f t="shared" si="34"/>
        <v>1.7719433821039958E-2</v>
      </c>
      <c r="BU30">
        <v>2548</v>
      </c>
      <c r="BV30" s="3">
        <f t="shared" si="35"/>
        <v>1.1334922950994697E-2</v>
      </c>
      <c r="BW30">
        <v>77</v>
      </c>
      <c r="BX30" s="3">
        <f t="shared" si="36"/>
        <v>5.6982165322282249E-3</v>
      </c>
      <c r="BY30">
        <v>6540</v>
      </c>
      <c r="BZ30" s="3">
        <f t="shared" si="37"/>
        <v>1.1126233412725417E-2</v>
      </c>
      <c r="CA30" s="1">
        <v>506600</v>
      </c>
      <c r="CB30">
        <v>6026</v>
      </c>
      <c r="CC30" s="3">
        <f t="shared" si="38"/>
        <v>1.9489003880983182E-3</v>
      </c>
      <c r="CD30">
        <v>290500</v>
      </c>
      <c r="CE30" s="3">
        <f t="shared" si="39"/>
        <v>1.3657733897508227E-2</v>
      </c>
      <c r="CF30" s="2">
        <v>131957</v>
      </c>
      <c r="CG30" s="3">
        <f t="shared" si="40"/>
        <v>0.99228242295319014</v>
      </c>
      <c r="CH30" s="2">
        <v>13676</v>
      </c>
      <c r="CI30" s="3">
        <f t="shared" si="41"/>
        <v>0.93232383214568482</v>
      </c>
      <c r="CJ30" s="2">
        <v>1110</v>
      </c>
      <c r="CK30" s="3">
        <f t="shared" si="42"/>
        <v>0.95057220465779046</v>
      </c>
      <c r="CL30" s="1">
        <v>6</v>
      </c>
    </row>
    <row r="31" spans="1:90" x14ac:dyDescent="0.3">
      <c r="A31" t="s">
        <v>104</v>
      </c>
      <c r="B31" t="s">
        <v>105</v>
      </c>
      <c r="C31">
        <v>29</v>
      </c>
      <c r="D31" s="9">
        <f t="shared" si="1"/>
        <v>41</v>
      </c>
      <c r="E31" s="9">
        <f t="shared" si="0"/>
        <v>4.1495451959135341</v>
      </c>
      <c r="F31" s="1">
        <v>9880604</v>
      </c>
      <c r="G31">
        <v>4065000</v>
      </c>
      <c r="H31" s="3">
        <f t="shared" si="2"/>
        <v>5.4200000000000003E-3</v>
      </c>
      <c r="I31">
        <v>3400000</v>
      </c>
      <c r="J31" s="3">
        <f t="shared" si="3"/>
        <v>5.492730210016155E-3</v>
      </c>
      <c r="K31">
        <v>110000</v>
      </c>
      <c r="L31" s="3">
        <f t="shared" si="4"/>
        <v>4.8034934497816597E-3</v>
      </c>
      <c r="M31">
        <v>43875</v>
      </c>
      <c r="N31" s="3">
        <f t="shared" si="5"/>
        <v>6.8076027928626846E-3</v>
      </c>
      <c r="O31">
        <v>21875</v>
      </c>
      <c r="P31" s="3">
        <f t="shared" si="6"/>
        <v>9.6792035398230083E-3</v>
      </c>
      <c r="Q31">
        <v>22000</v>
      </c>
      <c r="R31" s="3">
        <f t="shared" si="7"/>
        <v>4.0000000000000001E-3</v>
      </c>
      <c r="S31">
        <v>198</v>
      </c>
      <c r="T31" s="3">
        <f t="shared" si="8"/>
        <v>1.4387443685510827E-2</v>
      </c>
      <c r="U31">
        <v>72</v>
      </c>
      <c r="V31" s="3">
        <f t="shared" si="9"/>
        <v>3.1358885017421602E-2</v>
      </c>
      <c r="W31">
        <v>74</v>
      </c>
      <c r="X31" s="3">
        <f t="shared" si="10"/>
        <v>2.6570915619389589E-2</v>
      </c>
      <c r="Y31">
        <v>53</v>
      </c>
      <c r="Z31" s="3">
        <f t="shared" si="11"/>
        <v>9.2350583725387698E-3</v>
      </c>
      <c r="AA31">
        <v>66</v>
      </c>
      <c r="AB31" s="3">
        <f t="shared" si="12"/>
        <v>2.3313316849169905E-2</v>
      </c>
      <c r="AC31">
        <v>49</v>
      </c>
      <c r="AD31" s="3">
        <f t="shared" si="13"/>
        <v>8.0791426215993407E-3</v>
      </c>
      <c r="AE31">
        <v>0</v>
      </c>
      <c r="AF31" s="3">
        <f t="shared" si="14"/>
        <v>0</v>
      </c>
      <c r="AG31">
        <v>120</v>
      </c>
      <c r="AH31" s="3">
        <f t="shared" si="15"/>
        <v>5.9358923624851598E-3</v>
      </c>
      <c r="AI31">
        <v>2470</v>
      </c>
      <c r="AJ31" s="3">
        <f t="shared" si="16"/>
        <v>6.0152939457405873E-2</v>
      </c>
      <c r="AK31">
        <v>0</v>
      </c>
      <c r="AL31" s="3">
        <f t="shared" si="17"/>
        <v>0</v>
      </c>
      <c r="AM31">
        <v>0</v>
      </c>
      <c r="AN31" s="3">
        <f t="shared" si="18"/>
        <v>0</v>
      </c>
      <c r="AO31">
        <v>0</v>
      </c>
      <c r="AP31" s="3">
        <f t="shared" si="19"/>
        <v>0</v>
      </c>
      <c r="AQ31">
        <v>63</v>
      </c>
      <c r="AR31" s="3">
        <f t="shared" si="20"/>
        <v>6.5149948293691834E-2</v>
      </c>
      <c r="AS31">
        <v>0</v>
      </c>
      <c r="AT31" s="3">
        <f t="shared" si="21"/>
        <v>0</v>
      </c>
      <c r="AU31">
        <v>0</v>
      </c>
      <c r="AV31" s="3">
        <f t="shared" si="22"/>
        <v>0</v>
      </c>
      <c r="AW31">
        <v>0</v>
      </c>
      <c r="AX31" s="3">
        <f t="shared" si="23"/>
        <v>0</v>
      </c>
      <c r="AY31">
        <v>9</v>
      </c>
      <c r="AZ31" s="3">
        <f t="shared" si="24"/>
        <v>0.1111111111111111</v>
      </c>
      <c r="BA31">
        <v>5</v>
      </c>
      <c r="BB31" s="3">
        <f t="shared" si="25"/>
        <v>6.5789473684210523E-2</v>
      </c>
      <c r="BC31">
        <v>14</v>
      </c>
      <c r="BD31" s="3">
        <f t="shared" si="26"/>
        <v>3.1963470319634701E-2</v>
      </c>
      <c r="BE31">
        <v>8</v>
      </c>
      <c r="BF31" s="3">
        <f t="shared" si="27"/>
        <v>0.17391304347826086</v>
      </c>
      <c r="BG31">
        <v>1000</v>
      </c>
      <c r="BH31" s="3">
        <f t="shared" si="28"/>
        <v>9.8911968348170125E-5</v>
      </c>
      <c r="BI31">
        <v>300000</v>
      </c>
      <c r="BJ31" s="3">
        <f t="shared" si="29"/>
        <v>1.5789473684210527E-2</v>
      </c>
      <c r="BK31">
        <v>0</v>
      </c>
      <c r="BL31" s="3">
        <f t="shared" si="30"/>
        <v>0</v>
      </c>
      <c r="BM31">
        <v>5277000</v>
      </c>
      <c r="BN31" s="3">
        <f t="shared" si="31"/>
        <v>6.5479588038218142E-3</v>
      </c>
      <c r="BO31">
        <v>135</v>
      </c>
      <c r="BP31" s="3">
        <f t="shared" si="32"/>
        <v>2.1050990176204584E-2</v>
      </c>
      <c r="BQ31">
        <v>9</v>
      </c>
      <c r="BR31" s="3">
        <f t="shared" si="33"/>
        <v>0.375</v>
      </c>
      <c r="BS31">
        <v>572900</v>
      </c>
      <c r="BT31" s="3">
        <f t="shared" si="34"/>
        <v>8.6979493244628114E-2</v>
      </c>
      <c r="BU31">
        <v>11633</v>
      </c>
      <c r="BV31" s="3">
        <f t="shared" si="35"/>
        <v>5.1750062279796435E-2</v>
      </c>
      <c r="BW31">
        <v>231</v>
      </c>
      <c r="BX31" s="3">
        <f t="shared" si="36"/>
        <v>1.7094649596684674E-2</v>
      </c>
      <c r="BY31">
        <v>6215</v>
      </c>
      <c r="BZ31" s="3">
        <f t="shared" si="37"/>
        <v>1.0573324259952365E-2</v>
      </c>
      <c r="CA31" s="1">
        <v>939900</v>
      </c>
      <c r="CB31">
        <v>58110</v>
      </c>
      <c r="CC31" s="3">
        <f t="shared" si="38"/>
        <v>1.8793661060802071E-2</v>
      </c>
      <c r="CD31">
        <v>498100</v>
      </c>
      <c r="CE31" s="3">
        <f t="shared" si="39"/>
        <v>2.3417959567465913E-2</v>
      </c>
      <c r="CF31" s="2">
        <v>450295</v>
      </c>
      <c r="CG31" s="3">
        <f t="shared" si="40"/>
        <v>0.97366425156457603</v>
      </c>
      <c r="CH31" s="2">
        <v>3218</v>
      </c>
      <c r="CI31" s="3">
        <f t="shared" si="41"/>
        <v>0.98407561361836893</v>
      </c>
      <c r="CJ31" s="2">
        <v>2211</v>
      </c>
      <c r="CK31" s="3">
        <f t="shared" si="42"/>
        <v>0.90154517522376099</v>
      </c>
      <c r="CL31" s="1">
        <v>2052</v>
      </c>
    </row>
    <row r="32" spans="1:90" x14ac:dyDescent="0.3">
      <c r="A32" t="s">
        <v>106</v>
      </c>
      <c r="B32" t="s">
        <v>107</v>
      </c>
      <c r="C32">
        <v>30</v>
      </c>
      <c r="D32" s="9">
        <f t="shared" si="1"/>
        <v>25</v>
      </c>
      <c r="E32" s="9">
        <f t="shared" si="0"/>
        <v>4.8571615821753644</v>
      </c>
      <c r="F32" s="1">
        <v>44209733</v>
      </c>
      <c r="G32">
        <v>22250000</v>
      </c>
      <c r="H32" s="3">
        <f t="shared" si="2"/>
        <v>2.9666666666666668E-2</v>
      </c>
      <c r="I32">
        <v>15700000</v>
      </c>
      <c r="J32" s="3">
        <f t="shared" si="3"/>
        <v>2.5363489499192246E-2</v>
      </c>
      <c r="K32">
        <v>482000</v>
      </c>
      <c r="L32" s="3">
        <f t="shared" si="4"/>
        <v>2.1048034934497816E-2</v>
      </c>
      <c r="M32">
        <v>1182000</v>
      </c>
      <c r="N32" s="3">
        <f t="shared" si="5"/>
        <v>0.18339798293250581</v>
      </c>
      <c r="O32">
        <v>182000</v>
      </c>
      <c r="P32" s="3">
        <f t="shared" si="6"/>
        <v>8.0530973451327439E-2</v>
      </c>
      <c r="Q32">
        <v>1000000</v>
      </c>
      <c r="R32" s="3">
        <f t="shared" si="7"/>
        <v>0.18181818181818182</v>
      </c>
      <c r="S32">
        <v>238</v>
      </c>
      <c r="T32" s="3">
        <f t="shared" si="8"/>
        <v>1.7293997965412006E-2</v>
      </c>
      <c r="U32">
        <v>39</v>
      </c>
      <c r="V32" s="3">
        <f t="shared" si="9"/>
        <v>1.6986062717770034E-2</v>
      </c>
      <c r="W32">
        <v>66</v>
      </c>
      <c r="X32" s="3">
        <f t="shared" si="10"/>
        <v>2.3698384201077199E-2</v>
      </c>
      <c r="Y32">
        <v>89</v>
      </c>
      <c r="Z32" s="3">
        <f t="shared" si="11"/>
        <v>1.5507928210489632E-2</v>
      </c>
      <c r="AA32">
        <v>40</v>
      </c>
      <c r="AB32" s="3">
        <f t="shared" si="12"/>
        <v>1.412928293889085E-2</v>
      </c>
      <c r="AC32">
        <v>87</v>
      </c>
      <c r="AD32" s="3">
        <f t="shared" si="13"/>
        <v>1.4344600164880462E-2</v>
      </c>
      <c r="AE32">
        <v>34</v>
      </c>
      <c r="AF32" s="3">
        <f t="shared" si="14"/>
        <v>3.5902851108764518E-2</v>
      </c>
      <c r="AG32">
        <v>2449</v>
      </c>
      <c r="AH32" s="3">
        <f t="shared" si="15"/>
        <v>0.12114166996438465</v>
      </c>
      <c r="AI32">
        <v>8217</v>
      </c>
      <c r="AJ32" s="3">
        <f t="shared" si="16"/>
        <v>0.20011202571720813</v>
      </c>
      <c r="AK32">
        <v>1302</v>
      </c>
      <c r="AL32" s="3">
        <f t="shared" si="17"/>
        <v>0.21801741460147353</v>
      </c>
      <c r="AM32">
        <v>1669</v>
      </c>
      <c r="AN32" s="3">
        <f t="shared" si="18"/>
        <v>0.22511464796331265</v>
      </c>
      <c r="AO32">
        <v>625</v>
      </c>
      <c r="AP32" s="3">
        <f t="shared" si="19"/>
        <v>0.16477722119694174</v>
      </c>
      <c r="AQ32">
        <v>25</v>
      </c>
      <c r="AR32" s="3">
        <f t="shared" si="20"/>
        <v>2.5853154084798345E-2</v>
      </c>
      <c r="AS32">
        <v>0</v>
      </c>
      <c r="AT32" s="3">
        <f t="shared" si="21"/>
        <v>0</v>
      </c>
      <c r="AU32">
        <v>1</v>
      </c>
      <c r="AV32" s="3">
        <f t="shared" si="22"/>
        <v>1.9607843137254902E-2</v>
      </c>
      <c r="AW32">
        <v>0</v>
      </c>
      <c r="AX32" s="3">
        <f t="shared" si="23"/>
        <v>0</v>
      </c>
      <c r="AY32">
        <v>1</v>
      </c>
      <c r="AZ32" s="3">
        <f t="shared" si="24"/>
        <v>1.2345679012345678E-2</v>
      </c>
      <c r="BA32">
        <v>0</v>
      </c>
      <c r="BB32" s="3">
        <f t="shared" si="25"/>
        <v>0</v>
      </c>
      <c r="BC32">
        <v>3</v>
      </c>
      <c r="BD32" s="3">
        <f t="shared" si="26"/>
        <v>6.8493150684931503E-3</v>
      </c>
      <c r="BE32">
        <v>1</v>
      </c>
      <c r="BF32" s="3">
        <f t="shared" si="27"/>
        <v>2.1739130434782608E-2</v>
      </c>
      <c r="BG32">
        <v>40500</v>
      </c>
      <c r="BH32" s="3">
        <f t="shared" si="28"/>
        <v>4.0059347181008904E-3</v>
      </c>
      <c r="BI32">
        <v>317000</v>
      </c>
      <c r="BJ32" s="3">
        <f t="shared" si="29"/>
        <v>1.6684210526315791E-2</v>
      </c>
      <c r="BK32">
        <v>400000000</v>
      </c>
      <c r="BL32" s="3">
        <f t="shared" si="30"/>
        <v>1.3333333333333333E-3</v>
      </c>
      <c r="BM32">
        <v>18040000</v>
      </c>
      <c r="BN32" s="3">
        <f t="shared" si="31"/>
        <v>2.2384911279315051E-2</v>
      </c>
      <c r="BO32">
        <v>134</v>
      </c>
      <c r="BP32" s="3">
        <f t="shared" si="32"/>
        <v>2.0895056915640108E-2</v>
      </c>
      <c r="BQ32">
        <v>6</v>
      </c>
      <c r="BR32" s="3">
        <f t="shared" si="33"/>
        <v>0.25</v>
      </c>
      <c r="BS32">
        <v>169495</v>
      </c>
      <c r="BT32" s="3">
        <f t="shared" si="34"/>
        <v>2.5733267948155423E-2</v>
      </c>
      <c r="BU32">
        <v>21658</v>
      </c>
      <c r="BV32" s="3">
        <f t="shared" si="35"/>
        <v>9.6346845083454924E-2</v>
      </c>
      <c r="BW32">
        <v>187</v>
      </c>
      <c r="BX32" s="3">
        <f t="shared" si="36"/>
        <v>1.3838525863982831E-2</v>
      </c>
      <c r="BY32">
        <v>4880</v>
      </c>
      <c r="BZ32" s="3">
        <f t="shared" si="37"/>
        <v>8.3021435862538281E-3</v>
      </c>
      <c r="CA32" s="1">
        <v>127700</v>
      </c>
      <c r="CB32">
        <v>16010</v>
      </c>
      <c r="CC32" s="3">
        <f t="shared" si="38"/>
        <v>5.177878395860285E-3</v>
      </c>
      <c r="CD32">
        <v>349800</v>
      </c>
      <c r="CE32" s="3">
        <f t="shared" si="39"/>
        <v>1.6445698166431592E-2</v>
      </c>
      <c r="CF32" s="2">
        <v>603550</v>
      </c>
      <c r="CG32" s="3">
        <f t="shared" si="40"/>
        <v>0.96470104938273771</v>
      </c>
      <c r="CH32" s="2">
        <v>2782</v>
      </c>
      <c r="CI32" s="3">
        <f t="shared" si="41"/>
        <v>0.98623317498020591</v>
      </c>
      <c r="CJ32" s="2">
        <v>5618</v>
      </c>
      <c r="CK32" s="3">
        <f t="shared" si="42"/>
        <v>0.74983301420492499</v>
      </c>
      <c r="CL32" s="1">
        <v>2150</v>
      </c>
    </row>
    <row r="33" spans="1:90" x14ac:dyDescent="0.3">
      <c r="A33" t="s">
        <v>108</v>
      </c>
      <c r="B33" t="s">
        <v>109</v>
      </c>
      <c r="C33">
        <v>31</v>
      </c>
      <c r="D33" s="9">
        <f t="shared" si="1"/>
        <v>46</v>
      </c>
      <c r="E33" s="9">
        <f t="shared" si="0"/>
        <v>4.0610488619525489</v>
      </c>
      <c r="F33" s="1">
        <v>56890418</v>
      </c>
      <c r="G33">
        <v>30000000</v>
      </c>
      <c r="H33" s="3">
        <f t="shared" si="2"/>
        <v>0.04</v>
      </c>
      <c r="I33">
        <v>21635000</v>
      </c>
      <c r="J33" s="3">
        <f t="shared" si="3"/>
        <v>3.4951534733441036E-2</v>
      </c>
      <c r="K33">
        <v>1030000</v>
      </c>
      <c r="L33" s="3">
        <f t="shared" si="4"/>
        <v>4.4978165938864625E-2</v>
      </c>
      <c r="M33">
        <v>516000</v>
      </c>
      <c r="N33" s="3">
        <f t="shared" si="5"/>
        <v>8.0062063615205584E-2</v>
      </c>
      <c r="O33">
        <v>406000</v>
      </c>
      <c r="P33" s="3">
        <f t="shared" si="6"/>
        <v>0.17964601769911503</v>
      </c>
      <c r="Q33">
        <v>110000</v>
      </c>
      <c r="R33" s="3">
        <f t="shared" si="7"/>
        <v>0.02</v>
      </c>
      <c r="S33">
        <v>249</v>
      </c>
      <c r="T33" s="3">
        <f t="shared" si="8"/>
        <v>1.8093300392384829E-2</v>
      </c>
      <c r="U33">
        <v>56</v>
      </c>
      <c r="V33" s="3">
        <f t="shared" si="9"/>
        <v>2.4390243902439025E-2</v>
      </c>
      <c r="W33">
        <v>77</v>
      </c>
      <c r="X33" s="3">
        <f t="shared" si="10"/>
        <v>2.7648114901256734E-2</v>
      </c>
      <c r="Y33">
        <v>97</v>
      </c>
      <c r="Z33" s="3">
        <f t="shared" si="11"/>
        <v>1.6901899285589824E-2</v>
      </c>
      <c r="AA33">
        <v>58</v>
      </c>
      <c r="AB33" s="3">
        <f t="shared" si="12"/>
        <v>2.0487460261391734E-2</v>
      </c>
      <c r="AC33">
        <v>86</v>
      </c>
      <c r="AD33" s="3">
        <f t="shared" si="13"/>
        <v>1.4179719703215169E-2</v>
      </c>
      <c r="AE33">
        <v>9</v>
      </c>
      <c r="AF33" s="3">
        <f t="shared" si="14"/>
        <v>9.5036958817317843E-3</v>
      </c>
      <c r="AG33">
        <v>592</v>
      </c>
      <c r="AH33" s="3">
        <f t="shared" si="15"/>
        <v>2.9283735654926792E-2</v>
      </c>
      <c r="AI33">
        <v>1358</v>
      </c>
      <c r="AJ33" s="3">
        <f t="shared" si="16"/>
        <v>3.3071939993181046E-2</v>
      </c>
      <c r="AK33">
        <v>108</v>
      </c>
      <c r="AL33" s="3">
        <f t="shared" si="17"/>
        <v>1.8084393837910249E-2</v>
      </c>
      <c r="AM33">
        <v>884</v>
      </c>
      <c r="AN33" s="3">
        <f t="shared" si="18"/>
        <v>0.1192338818451578</v>
      </c>
      <c r="AO33">
        <v>108</v>
      </c>
      <c r="AP33" s="3">
        <f t="shared" si="19"/>
        <v>2.8473503822831533E-2</v>
      </c>
      <c r="AQ33">
        <v>155</v>
      </c>
      <c r="AR33" s="3">
        <f t="shared" si="20"/>
        <v>0.16028955532574973</v>
      </c>
      <c r="AS33">
        <v>0</v>
      </c>
      <c r="AT33" s="3">
        <f t="shared" si="21"/>
        <v>0</v>
      </c>
      <c r="AU33">
        <v>5</v>
      </c>
      <c r="AV33" s="3">
        <f t="shared" si="22"/>
        <v>9.8039215686274508E-2</v>
      </c>
      <c r="AW33">
        <v>0</v>
      </c>
      <c r="AX33" s="3">
        <f t="shared" si="23"/>
        <v>0</v>
      </c>
      <c r="AY33">
        <v>3</v>
      </c>
      <c r="AZ33" s="3">
        <f t="shared" si="24"/>
        <v>3.7037037037037035E-2</v>
      </c>
      <c r="BA33">
        <v>0</v>
      </c>
      <c r="BB33" s="3">
        <f t="shared" si="25"/>
        <v>0</v>
      </c>
      <c r="BC33">
        <v>40</v>
      </c>
      <c r="BD33" s="3">
        <f t="shared" si="26"/>
        <v>9.1324200913242004E-2</v>
      </c>
      <c r="BE33">
        <v>1</v>
      </c>
      <c r="BF33" s="3">
        <f t="shared" si="27"/>
        <v>2.1739130434782608E-2</v>
      </c>
      <c r="BG33">
        <v>20000</v>
      </c>
      <c r="BH33" s="3">
        <f t="shared" si="28"/>
        <v>1.9782393669634025E-3</v>
      </c>
      <c r="BI33">
        <v>28120</v>
      </c>
      <c r="BJ33" s="3">
        <f t="shared" si="29"/>
        <v>1.48E-3</v>
      </c>
      <c r="BK33">
        <v>50000000</v>
      </c>
      <c r="BL33" s="3">
        <f t="shared" si="30"/>
        <v>1.6666666666666666E-4</v>
      </c>
      <c r="BM33">
        <v>37150000</v>
      </c>
      <c r="BN33" s="3">
        <f t="shared" si="31"/>
        <v>4.6097530711006328E-2</v>
      </c>
      <c r="BO33">
        <v>29</v>
      </c>
      <c r="BP33" s="3">
        <f t="shared" si="32"/>
        <v>4.5220645563698739E-3</v>
      </c>
      <c r="BQ33">
        <v>3</v>
      </c>
      <c r="BR33" s="3">
        <f t="shared" si="33"/>
        <v>0.125</v>
      </c>
      <c r="BS33">
        <v>34377</v>
      </c>
      <c r="BT33" s="3">
        <f t="shared" si="34"/>
        <v>5.2192250641832447E-3</v>
      </c>
      <c r="BU33">
        <v>5031</v>
      </c>
      <c r="BV33" s="3">
        <f t="shared" si="35"/>
        <v>2.2380689704259937E-2</v>
      </c>
      <c r="BW33">
        <v>64</v>
      </c>
      <c r="BX33" s="3">
        <f t="shared" si="36"/>
        <v>4.7361799748390438E-3</v>
      </c>
      <c r="BY33">
        <v>2400</v>
      </c>
      <c r="BZ33" s="3">
        <f t="shared" si="37"/>
        <v>4.0830214358625379E-3</v>
      </c>
      <c r="CA33" s="1">
        <v>9041</v>
      </c>
      <c r="CB33">
        <v>8913</v>
      </c>
      <c r="CC33" s="3">
        <f t="shared" si="38"/>
        <v>2.8826002587322122E-3</v>
      </c>
      <c r="CD33">
        <v>311100</v>
      </c>
      <c r="CE33" s="3">
        <f t="shared" si="39"/>
        <v>1.4626234132581101E-2</v>
      </c>
      <c r="CF33" s="2">
        <v>676578</v>
      </c>
      <c r="CG33" s="3">
        <f t="shared" si="40"/>
        <v>0.96042996701064354</v>
      </c>
      <c r="CH33" s="2">
        <v>1930</v>
      </c>
      <c r="CI33" s="3">
        <f t="shared" si="41"/>
        <v>0.99044932699920829</v>
      </c>
      <c r="CJ33" s="2">
        <v>6522</v>
      </c>
      <c r="CK33" s="3">
        <f t="shared" si="42"/>
        <v>0.7095783052055038</v>
      </c>
      <c r="CL33" s="1">
        <v>12800</v>
      </c>
    </row>
    <row r="34" spans="1:90" x14ac:dyDescent="0.3">
      <c r="A34" t="s">
        <v>110</v>
      </c>
      <c r="B34" t="s">
        <v>111</v>
      </c>
      <c r="C34">
        <v>32</v>
      </c>
      <c r="D34" s="9">
        <f t="shared" si="1"/>
        <v>83</v>
      </c>
      <c r="E34" s="9">
        <f t="shared" si="0"/>
        <v>3.307774812837124</v>
      </c>
      <c r="F34" s="1">
        <v>10644842</v>
      </c>
      <c r="G34">
        <v>5000000</v>
      </c>
      <c r="H34" s="3">
        <f t="shared" si="2"/>
        <v>6.6666666666666671E-3</v>
      </c>
      <c r="I34">
        <v>4062000</v>
      </c>
      <c r="J34" s="3">
        <f t="shared" si="3"/>
        <v>6.5621970920840067E-3</v>
      </c>
      <c r="K34">
        <v>98000</v>
      </c>
      <c r="L34" s="3">
        <f t="shared" si="4"/>
        <v>4.2794759825327509E-3</v>
      </c>
      <c r="M34">
        <v>29050</v>
      </c>
      <c r="N34" s="3">
        <f t="shared" si="5"/>
        <v>4.5073700543056634E-3</v>
      </c>
      <c r="O34">
        <v>22000</v>
      </c>
      <c r="P34" s="3">
        <f t="shared" si="6"/>
        <v>9.7345132743362831E-3</v>
      </c>
      <c r="Q34">
        <v>7050</v>
      </c>
      <c r="R34" s="3">
        <f t="shared" si="7"/>
        <v>1.2818181818181817E-3</v>
      </c>
      <c r="S34">
        <v>109</v>
      </c>
      <c r="T34" s="3">
        <f t="shared" si="8"/>
        <v>7.9203604127307085E-3</v>
      </c>
      <c r="U34">
        <v>12</v>
      </c>
      <c r="V34" s="3">
        <f t="shared" si="9"/>
        <v>5.2264808362369342E-3</v>
      </c>
      <c r="W34">
        <v>31</v>
      </c>
      <c r="X34" s="3">
        <f t="shared" si="10"/>
        <v>1.1131059245960502E-2</v>
      </c>
      <c r="Y34">
        <v>52</v>
      </c>
      <c r="Z34" s="3">
        <f t="shared" si="11"/>
        <v>9.0608119881512451E-3</v>
      </c>
      <c r="AA34">
        <v>14</v>
      </c>
      <c r="AB34" s="3">
        <f t="shared" si="12"/>
        <v>4.9452490286117983E-3</v>
      </c>
      <c r="AC34">
        <v>56</v>
      </c>
      <c r="AD34" s="3">
        <f t="shared" si="13"/>
        <v>9.2333058532563898E-3</v>
      </c>
      <c r="AE34">
        <v>17</v>
      </c>
      <c r="AF34" s="3">
        <f t="shared" si="14"/>
        <v>1.7951425554382259E-2</v>
      </c>
      <c r="AG34">
        <v>123</v>
      </c>
      <c r="AH34" s="3">
        <f t="shared" si="15"/>
        <v>6.0842896715472897E-3</v>
      </c>
      <c r="AI34">
        <v>518</v>
      </c>
      <c r="AJ34" s="3">
        <f t="shared" si="16"/>
        <v>1.261506989430617E-2</v>
      </c>
      <c r="AK34">
        <v>86</v>
      </c>
      <c r="AL34" s="3">
        <f t="shared" si="17"/>
        <v>1.4400535833891493E-2</v>
      </c>
      <c r="AM34">
        <v>93</v>
      </c>
      <c r="AN34" s="3">
        <f t="shared" si="18"/>
        <v>1.2543835985972484E-2</v>
      </c>
      <c r="AO34">
        <v>0</v>
      </c>
      <c r="AP34" s="3">
        <f t="shared" si="19"/>
        <v>0</v>
      </c>
      <c r="AQ34">
        <v>0</v>
      </c>
      <c r="AR34" s="3">
        <f t="shared" si="20"/>
        <v>0</v>
      </c>
      <c r="AS34">
        <v>0</v>
      </c>
      <c r="AT34" s="3">
        <f t="shared" si="21"/>
        <v>0</v>
      </c>
      <c r="AU34">
        <v>0</v>
      </c>
      <c r="AV34" s="3">
        <f t="shared" si="22"/>
        <v>0</v>
      </c>
      <c r="AW34">
        <v>0</v>
      </c>
      <c r="AX34" s="3">
        <f t="shared" si="23"/>
        <v>0</v>
      </c>
      <c r="AY34">
        <v>0</v>
      </c>
      <c r="AZ34" s="3">
        <f t="shared" si="24"/>
        <v>0</v>
      </c>
      <c r="BA34">
        <v>0</v>
      </c>
      <c r="BB34" s="3">
        <f t="shared" si="25"/>
        <v>0</v>
      </c>
      <c r="BC34">
        <v>0</v>
      </c>
      <c r="BD34" s="3">
        <f t="shared" si="26"/>
        <v>0</v>
      </c>
      <c r="BE34">
        <v>0</v>
      </c>
      <c r="BF34" s="3">
        <f t="shared" si="27"/>
        <v>0</v>
      </c>
      <c r="BG34">
        <v>3000</v>
      </c>
      <c r="BH34" s="3">
        <f t="shared" si="28"/>
        <v>2.9673590504451037E-4</v>
      </c>
      <c r="BI34">
        <v>188000</v>
      </c>
      <c r="BJ34" s="3">
        <f t="shared" si="29"/>
        <v>9.8947368421052635E-3</v>
      </c>
      <c r="BK34">
        <v>15000000</v>
      </c>
      <c r="BL34" s="3">
        <f t="shared" si="30"/>
        <v>5.0000000000000002E-5</v>
      </c>
      <c r="BM34">
        <v>5494000</v>
      </c>
      <c r="BN34" s="3">
        <f t="shared" si="31"/>
        <v>6.8172229805186745E-3</v>
      </c>
      <c r="BO34">
        <v>1</v>
      </c>
      <c r="BP34" s="3">
        <f t="shared" si="32"/>
        <v>1.5593326056447841E-4</v>
      </c>
      <c r="BQ34">
        <v>3</v>
      </c>
      <c r="BR34" s="3">
        <f t="shared" si="33"/>
        <v>0.125</v>
      </c>
      <c r="BS34">
        <v>130671</v>
      </c>
      <c r="BT34" s="3">
        <f t="shared" si="34"/>
        <v>1.9838885253567466E-2</v>
      </c>
      <c r="BU34">
        <v>9469</v>
      </c>
      <c r="BV34" s="3">
        <f t="shared" si="35"/>
        <v>4.2123385173849601E-2</v>
      </c>
      <c r="BW34">
        <v>128</v>
      </c>
      <c r="BX34" s="3">
        <f t="shared" si="36"/>
        <v>9.4723599496780875E-3</v>
      </c>
      <c r="BY34">
        <v>2220</v>
      </c>
      <c r="BZ34" s="3">
        <f t="shared" si="37"/>
        <v>3.776794828172848E-3</v>
      </c>
      <c r="CA34" s="1">
        <v>128900</v>
      </c>
      <c r="CB34">
        <v>78620</v>
      </c>
      <c r="CC34" s="3">
        <f t="shared" si="38"/>
        <v>2.5426908150064684E-2</v>
      </c>
      <c r="CD34">
        <v>350900</v>
      </c>
      <c r="CE34" s="3">
        <f t="shared" si="39"/>
        <v>1.6497414198401505E-2</v>
      </c>
      <c r="CF34" s="2">
        <v>78867</v>
      </c>
      <c r="CG34" s="3">
        <f t="shared" si="40"/>
        <v>0.99538742053130369</v>
      </c>
      <c r="CH34" s="2">
        <v>0</v>
      </c>
      <c r="CI34" s="3">
        <f t="shared" si="41"/>
        <v>1</v>
      </c>
      <c r="CJ34" s="2">
        <v>2046</v>
      </c>
      <c r="CK34" s="3">
        <f t="shared" si="42"/>
        <v>0.90889255020706239</v>
      </c>
      <c r="CL34" s="1">
        <v>664</v>
      </c>
    </row>
    <row r="35" spans="1:90" x14ac:dyDescent="0.3">
      <c r="A35" t="s">
        <v>112</v>
      </c>
      <c r="B35" t="s">
        <v>113</v>
      </c>
      <c r="C35">
        <v>33</v>
      </c>
      <c r="D35" s="9">
        <f t="shared" si="1"/>
        <v>42</v>
      </c>
      <c r="E35" s="9">
        <f t="shared" si="0"/>
        <v>4.1273560230155661</v>
      </c>
      <c r="F35" s="1">
        <v>30949962</v>
      </c>
      <c r="G35">
        <v>15000000</v>
      </c>
      <c r="H35" s="3">
        <f t="shared" si="2"/>
        <v>0.02</v>
      </c>
      <c r="I35">
        <v>12425000</v>
      </c>
      <c r="J35" s="3">
        <f t="shared" si="3"/>
        <v>2.0072697899838451E-2</v>
      </c>
      <c r="K35">
        <v>520000</v>
      </c>
      <c r="L35" s="3">
        <f t="shared" si="4"/>
        <v>2.2707423580786028E-2</v>
      </c>
      <c r="M35">
        <v>420000</v>
      </c>
      <c r="N35" s="3">
        <f t="shared" si="5"/>
        <v>6.5166795965865013E-2</v>
      </c>
      <c r="O35">
        <v>110000</v>
      </c>
      <c r="P35" s="3">
        <f t="shared" si="6"/>
        <v>4.8672566371681415E-2</v>
      </c>
      <c r="Q35">
        <v>310000</v>
      </c>
      <c r="R35" s="3">
        <f t="shared" si="7"/>
        <v>5.6363636363636366E-2</v>
      </c>
      <c r="S35">
        <v>232</v>
      </c>
      <c r="T35" s="3">
        <f t="shared" si="8"/>
        <v>1.6858014823426828E-2</v>
      </c>
      <c r="U35">
        <v>36</v>
      </c>
      <c r="V35" s="3">
        <f t="shared" si="9"/>
        <v>1.5679442508710801E-2</v>
      </c>
      <c r="W35">
        <v>55</v>
      </c>
      <c r="X35" s="3">
        <f t="shared" si="10"/>
        <v>1.9748653500897665E-2</v>
      </c>
      <c r="Y35">
        <v>96</v>
      </c>
      <c r="Z35" s="3">
        <f t="shared" si="11"/>
        <v>1.6727652901202299E-2</v>
      </c>
      <c r="AA35">
        <v>73</v>
      </c>
      <c r="AB35" s="3">
        <f t="shared" si="12"/>
        <v>2.5785941363475805E-2</v>
      </c>
      <c r="AC35">
        <v>88</v>
      </c>
      <c r="AD35" s="3">
        <f t="shared" si="13"/>
        <v>1.4509480626545754E-2</v>
      </c>
      <c r="AE35">
        <v>0</v>
      </c>
      <c r="AF35" s="3">
        <f t="shared" si="14"/>
        <v>0</v>
      </c>
      <c r="AG35">
        <v>74</v>
      </c>
      <c r="AH35" s="3">
        <f t="shared" si="15"/>
        <v>3.6604669568658489E-3</v>
      </c>
      <c r="AI35">
        <v>1318</v>
      </c>
      <c r="AJ35" s="3">
        <f t="shared" si="16"/>
        <v>3.2097803321806048E-2</v>
      </c>
      <c r="AK35">
        <v>0</v>
      </c>
      <c r="AL35" s="3">
        <f t="shared" si="17"/>
        <v>0</v>
      </c>
      <c r="AM35">
        <v>184</v>
      </c>
      <c r="AN35" s="3">
        <f t="shared" si="18"/>
        <v>2.4817912058268141E-2</v>
      </c>
      <c r="AO35">
        <v>54</v>
      </c>
      <c r="AP35" s="3">
        <f t="shared" si="19"/>
        <v>1.4236751911415766E-2</v>
      </c>
      <c r="AQ35">
        <v>61</v>
      </c>
      <c r="AR35" s="3">
        <f t="shared" si="20"/>
        <v>6.3081695966907964E-2</v>
      </c>
      <c r="AS35">
        <v>0</v>
      </c>
      <c r="AT35" s="3">
        <f t="shared" si="21"/>
        <v>0</v>
      </c>
      <c r="AU35">
        <v>2</v>
      </c>
      <c r="AV35" s="3">
        <f t="shared" si="22"/>
        <v>3.9215686274509803E-2</v>
      </c>
      <c r="AW35">
        <v>0</v>
      </c>
      <c r="AX35" s="3">
        <f t="shared" si="23"/>
        <v>0</v>
      </c>
      <c r="AY35">
        <v>6</v>
      </c>
      <c r="AZ35" s="3">
        <f t="shared" si="24"/>
        <v>7.407407407407407E-2</v>
      </c>
      <c r="BA35">
        <v>2</v>
      </c>
      <c r="BB35" s="3">
        <f t="shared" si="25"/>
        <v>2.6315789473684209E-2</v>
      </c>
      <c r="BC35">
        <v>41</v>
      </c>
      <c r="BD35" s="3">
        <f t="shared" si="26"/>
        <v>9.3607305936073054E-2</v>
      </c>
      <c r="BE35">
        <v>4</v>
      </c>
      <c r="BF35" s="3">
        <f t="shared" si="27"/>
        <v>8.6956521739130432E-2</v>
      </c>
      <c r="BG35">
        <v>597500</v>
      </c>
      <c r="BH35" s="3">
        <f t="shared" si="28"/>
        <v>5.9099901088031655E-2</v>
      </c>
      <c r="BI35">
        <v>625000</v>
      </c>
      <c r="BJ35" s="3">
        <f t="shared" si="29"/>
        <v>3.2894736842105261E-2</v>
      </c>
      <c r="BK35">
        <v>3600000000</v>
      </c>
      <c r="BL35" s="3">
        <f t="shared" si="30"/>
        <v>1.2E-2</v>
      </c>
      <c r="BM35">
        <v>14770000</v>
      </c>
      <c r="BN35" s="3">
        <f t="shared" si="31"/>
        <v>1.8327335897754062E-2</v>
      </c>
      <c r="BO35">
        <v>315</v>
      </c>
      <c r="BP35" s="3">
        <f t="shared" si="32"/>
        <v>4.9118977077810697E-2</v>
      </c>
      <c r="BQ35">
        <v>5</v>
      </c>
      <c r="BR35" s="3">
        <f t="shared" si="33"/>
        <v>0.20833333333333334</v>
      </c>
      <c r="BS35">
        <v>98721</v>
      </c>
      <c r="BT35" s="3">
        <f t="shared" si="34"/>
        <v>1.4988135019380228E-2</v>
      </c>
      <c r="BU35">
        <v>1849</v>
      </c>
      <c r="BV35" s="3">
        <f t="shared" si="35"/>
        <v>8.225381686181003E-3</v>
      </c>
      <c r="BW35">
        <v>114</v>
      </c>
      <c r="BX35" s="3">
        <f t="shared" si="36"/>
        <v>8.4363205801820471E-3</v>
      </c>
      <c r="BY35">
        <v>4700</v>
      </c>
      <c r="BZ35" s="3">
        <f t="shared" si="37"/>
        <v>7.9959169785641382E-3</v>
      </c>
      <c r="CA35" s="1">
        <v>187500</v>
      </c>
      <c r="CB35">
        <v>97380</v>
      </c>
      <c r="CC35" s="3">
        <f t="shared" si="38"/>
        <v>3.1494178525226388E-2</v>
      </c>
      <c r="CD35">
        <v>863800</v>
      </c>
      <c r="CE35" s="3">
        <f t="shared" si="39"/>
        <v>4.0611189468735306E-2</v>
      </c>
      <c r="CF35" s="2">
        <v>329847</v>
      </c>
      <c r="CG35" s="3">
        <f t="shared" si="40"/>
        <v>0.98070871847526786</v>
      </c>
      <c r="CH35" s="2">
        <v>4675</v>
      </c>
      <c r="CI35" s="3">
        <f t="shared" si="41"/>
        <v>0.97686559778305626</v>
      </c>
      <c r="CJ35" s="2">
        <v>2742</v>
      </c>
      <c r="CK35" s="3">
        <f t="shared" si="42"/>
        <v>0.87789998664113633</v>
      </c>
      <c r="CL35" s="1">
        <v>7200</v>
      </c>
    </row>
    <row r="36" spans="1:90" x14ac:dyDescent="0.3">
      <c r="A36" t="s">
        <v>114</v>
      </c>
      <c r="B36" t="s">
        <v>115</v>
      </c>
      <c r="C36">
        <v>34</v>
      </c>
      <c r="D36" s="9">
        <f t="shared" si="1"/>
        <v>21</v>
      </c>
      <c r="E36" s="9">
        <f t="shared" si="0"/>
        <v>5.4163868389629499</v>
      </c>
      <c r="F36" s="1">
        <v>123166749</v>
      </c>
      <c r="G36">
        <v>60000000</v>
      </c>
      <c r="H36" s="3">
        <f t="shared" si="2"/>
        <v>0.08</v>
      </c>
      <c r="I36">
        <v>48885000</v>
      </c>
      <c r="J36" s="3">
        <f t="shared" si="3"/>
        <v>7.8974151857835212E-2</v>
      </c>
      <c r="K36">
        <v>2175000</v>
      </c>
      <c r="L36" s="3">
        <f t="shared" si="4"/>
        <v>9.4978165938864628E-2</v>
      </c>
      <c r="M36">
        <v>383575</v>
      </c>
      <c r="N36" s="3">
        <f t="shared" si="5"/>
        <v>5.9515128006206362E-2</v>
      </c>
      <c r="O36">
        <v>273575</v>
      </c>
      <c r="P36" s="3">
        <f t="shared" si="6"/>
        <v>0.12105088495575221</v>
      </c>
      <c r="Q36">
        <v>110000</v>
      </c>
      <c r="R36" s="3">
        <f t="shared" si="7"/>
        <v>0.02</v>
      </c>
      <c r="S36">
        <v>452</v>
      </c>
      <c r="T36" s="3">
        <f t="shared" si="8"/>
        <v>3.28440633628833E-2</v>
      </c>
      <c r="U36">
        <v>0</v>
      </c>
      <c r="V36" s="3">
        <f t="shared" si="9"/>
        <v>0</v>
      </c>
      <c r="W36">
        <v>42</v>
      </c>
      <c r="X36" s="3">
        <f t="shared" si="10"/>
        <v>1.5080789946140035E-2</v>
      </c>
      <c r="Y36">
        <v>239</v>
      </c>
      <c r="Z36" s="3">
        <f t="shared" si="11"/>
        <v>4.1644885868618225E-2</v>
      </c>
      <c r="AA36">
        <v>160</v>
      </c>
      <c r="AB36" s="3">
        <f t="shared" si="12"/>
        <v>5.6517131755563402E-2</v>
      </c>
      <c r="AC36">
        <v>209</v>
      </c>
      <c r="AD36" s="3">
        <f t="shared" si="13"/>
        <v>3.4460016488046169E-2</v>
      </c>
      <c r="AE36">
        <v>0</v>
      </c>
      <c r="AF36" s="3">
        <f t="shared" si="14"/>
        <v>0</v>
      </c>
      <c r="AG36">
        <v>0</v>
      </c>
      <c r="AH36" s="3">
        <f t="shared" si="15"/>
        <v>0</v>
      </c>
      <c r="AI36">
        <v>695</v>
      </c>
      <c r="AJ36" s="3">
        <f t="shared" si="16"/>
        <v>1.6925624665140519E-2</v>
      </c>
      <c r="AK36">
        <v>12</v>
      </c>
      <c r="AL36" s="3">
        <f t="shared" si="17"/>
        <v>2.0093770931011385E-3</v>
      </c>
      <c r="AM36">
        <v>375</v>
      </c>
      <c r="AN36" s="3">
        <f t="shared" si="18"/>
        <v>5.0579983814405177E-2</v>
      </c>
      <c r="AO36">
        <v>0</v>
      </c>
      <c r="AP36" s="3">
        <f t="shared" si="19"/>
        <v>0</v>
      </c>
      <c r="AQ36">
        <v>143</v>
      </c>
      <c r="AR36" s="3">
        <f t="shared" si="20"/>
        <v>0.14788004136504654</v>
      </c>
      <c r="AS36">
        <v>0</v>
      </c>
      <c r="AT36" s="3">
        <f t="shared" si="21"/>
        <v>0</v>
      </c>
      <c r="AU36">
        <v>6</v>
      </c>
      <c r="AV36" s="3">
        <f t="shared" si="22"/>
        <v>0.11764705882352941</v>
      </c>
      <c r="AW36">
        <v>0</v>
      </c>
      <c r="AX36" s="3">
        <f t="shared" si="23"/>
        <v>0</v>
      </c>
      <c r="AY36">
        <v>3</v>
      </c>
      <c r="AZ36" s="3">
        <f t="shared" si="24"/>
        <v>3.7037037037037035E-2</v>
      </c>
      <c r="BA36">
        <v>0</v>
      </c>
      <c r="BB36" s="3">
        <f t="shared" si="25"/>
        <v>0</v>
      </c>
      <c r="BC36">
        <v>131</v>
      </c>
      <c r="BD36" s="3">
        <f t="shared" si="26"/>
        <v>0.29908675799086759</v>
      </c>
      <c r="BE36">
        <v>11</v>
      </c>
      <c r="BF36" s="3">
        <f t="shared" si="27"/>
        <v>0.2391304347826087</v>
      </c>
      <c r="BG36">
        <v>2459000</v>
      </c>
      <c r="BH36" s="3">
        <f t="shared" si="28"/>
        <v>0.24322453016815035</v>
      </c>
      <c r="BI36">
        <v>2045000</v>
      </c>
      <c r="BJ36" s="3">
        <f t="shared" si="29"/>
        <v>0.10763157894736843</v>
      </c>
      <c r="BK36">
        <v>9700000000</v>
      </c>
      <c r="BL36" s="3">
        <f t="shared" si="30"/>
        <v>3.2333333333333332E-2</v>
      </c>
      <c r="BM36">
        <v>53740000</v>
      </c>
      <c r="BN36" s="3">
        <f t="shared" si="31"/>
        <v>6.6683211316540508E-2</v>
      </c>
      <c r="BO36">
        <v>52</v>
      </c>
      <c r="BP36" s="3">
        <f t="shared" si="32"/>
        <v>8.1085295493528772E-3</v>
      </c>
      <c r="BQ36">
        <v>8</v>
      </c>
      <c r="BR36" s="3">
        <f t="shared" si="33"/>
        <v>0.33333333333333331</v>
      </c>
      <c r="BS36">
        <v>366095</v>
      </c>
      <c r="BT36" s="3">
        <f t="shared" si="34"/>
        <v>5.5581702879022747E-2</v>
      </c>
      <c r="BU36">
        <v>17166</v>
      </c>
      <c r="BV36" s="3">
        <f t="shared" si="35"/>
        <v>7.6363927541905408E-2</v>
      </c>
      <c r="BW36">
        <v>1714</v>
      </c>
      <c r="BX36" s="3">
        <f t="shared" si="36"/>
        <v>0.12684081995115815</v>
      </c>
      <c r="BY36">
        <v>7000</v>
      </c>
      <c r="BZ36" s="3">
        <f t="shared" si="37"/>
        <v>1.1908812521265737E-2</v>
      </c>
      <c r="CA36" s="1">
        <v>484600</v>
      </c>
      <c r="CB36">
        <v>176400</v>
      </c>
      <c r="CC36" s="3">
        <f t="shared" si="38"/>
        <v>5.7050452781371282E-2</v>
      </c>
      <c r="CD36">
        <v>2307000</v>
      </c>
      <c r="CE36" s="3">
        <f t="shared" si="39"/>
        <v>0.10846262341325812</v>
      </c>
      <c r="CF36" s="2">
        <v>1964375</v>
      </c>
      <c r="CG36" s="3">
        <f t="shared" si="40"/>
        <v>0.88511245776027736</v>
      </c>
      <c r="CH36" s="2">
        <v>9330</v>
      </c>
      <c r="CI36" s="3">
        <f t="shared" si="41"/>
        <v>0.95383016627078387</v>
      </c>
      <c r="CJ36" s="2">
        <v>4389</v>
      </c>
      <c r="CK36" s="3">
        <f t="shared" si="42"/>
        <v>0.80455982544418225</v>
      </c>
      <c r="CL36" s="1">
        <v>2900</v>
      </c>
    </row>
    <row r="37" spans="1:90" x14ac:dyDescent="0.3">
      <c r="A37" t="s">
        <v>116</v>
      </c>
      <c r="B37" t="s">
        <v>117</v>
      </c>
      <c r="C37">
        <v>35</v>
      </c>
      <c r="D37" s="9">
        <f t="shared" si="1"/>
        <v>60</v>
      </c>
      <c r="E37" s="9">
        <f t="shared" si="0"/>
        <v>3.7029785664889214</v>
      </c>
      <c r="F37" s="1">
        <v>43886748</v>
      </c>
      <c r="G37">
        <v>20000000</v>
      </c>
      <c r="H37" s="3">
        <f t="shared" si="2"/>
        <v>2.6666666666666668E-2</v>
      </c>
      <c r="I37">
        <v>17000000</v>
      </c>
      <c r="J37" s="3">
        <f t="shared" si="3"/>
        <v>2.7463651050080775E-2</v>
      </c>
      <c r="K37">
        <v>665000</v>
      </c>
      <c r="L37" s="3">
        <f t="shared" si="4"/>
        <v>2.9039301310043668E-2</v>
      </c>
      <c r="M37">
        <v>127720</v>
      </c>
      <c r="N37" s="3">
        <f t="shared" si="5"/>
        <v>1.9816912335143523E-2</v>
      </c>
      <c r="O37">
        <v>75000</v>
      </c>
      <c r="P37" s="3">
        <f t="shared" si="6"/>
        <v>3.3185840707964605E-2</v>
      </c>
      <c r="Q37">
        <v>52720</v>
      </c>
      <c r="R37" s="3">
        <f t="shared" si="7"/>
        <v>9.5854545454545463E-3</v>
      </c>
      <c r="S37">
        <v>248</v>
      </c>
      <c r="T37" s="3">
        <f t="shared" si="8"/>
        <v>1.80206365353873E-2</v>
      </c>
      <c r="U37">
        <v>32</v>
      </c>
      <c r="V37" s="3">
        <f t="shared" si="9"/>
        <v>1.3937282229965157E-2</v>
      </c>
      <c r="W37">
        <v>64</v>
      </c>
      <c r="X37" s="3">
        <f t="shared" si="10"/>
        <v>2.2980251346499104E-2</v>
      </c>
      <c r="Y37">
        <v>102</v>
      </c>
      <c r="Z37" s="3">
        <f t="shared" si="11"/>
        <v>1.7773131207527444E-2</v>
      </c>
      <c r="AA37">
        <v>59</v>
      </c>
      <c r="AB37" s="3">
        <f t="shared" si="12"/>
        <v>2.0840692334864006E-2</v>
      </c>
      <c r="AC37">
        <v>86</v>
      </c>
      <c r="AD37" s="3">
        <f t="shared" si="13"/>
        <v>1.4179719703215169E-2</v>
      </c>
      <c r="AE37">
        <v>0</v>
      </c>
      <c r="AF37" s="3">
        <f t="shared" si="14"/>
        <v>0</v>
      </c>
      <c r="AG37">
        <v>390</v>
      </c>
      <c r="AH37" s="3">
        <f t="shared" si="15"/>
        <v>1.9291650178076773E-2</v>
      </c>
      <c r="AI37">
        <v>828</v>
      </c>
      <c r="AJ37" s="3">
        <f t="shared" si="16"/>
        <v>2.0164629097462375E-2</v>
      </c>
      <c r="AK37">
        <v>43</v>
      </c>
      <c r="AL37" s="3">
        <f t="shared" si="17"/>
        <v>7.2002679169457465E-3</v>
      </c>
      <c r="AM37">
        <v>289</v>
      </c>
      <c r="AN37" s="3">
        <f t="shared" si="18"/>
        <v>3.8980307526301591E-2</v>
      </c>
      <c r="AO37">
        <v>32</v>
      </c>
      <c r="AP37" s="3">
        <f t="shared" si="19"/>
        <v>8.4365937252834176E-3</v>
      </c>
      <c r="AQ37">
        <v>42</v>
      </c>
      <c r="AR37" s="3">
        <f t="shared" si="20"/>
        <v>4.3433298862461223E-2</v>
      </c>
      <c r="AS37">
        <v>0</v>
      </c>
      <c r="AT37" s="3">
        <f t="shared" si="21"/>
        <v>0</v>
      </c>
      <c r="AU37">
        <v>0</v>
      </c>
      <c r="AV37" s="3">
        <f t="shared" si="22"/>
        <v>0</v>
      </c>
      <c r="AW37">
        <v>4</v>
      </c>
      <c r="AX37" s="3">
        <f t="shared" si="23"/>
        <v>6.3492063492063489E-2</v>
      </c>
      <c r="AY37">
        <v>9</v>
      </c>
      <c r="AZ37" s="3">
        <f t="shared" si="24"/>
        <v>0.1111111111111111</v>
      </c>
      <c r="BA37">
        <v>3</v>
      </c>
      <c r="BB37" s="3">
        <f t="shared" si="25"/>
        <v>3.9473684210526314E-2</v>
      </c>
      <c r="BC37">
        <v>6</v>
      </c>
      <c r="BD37" s="3">
        <f t="shared" si="26"/>
        <v>1.3698630136986301E-2</v>
      </c>
      <c r="BE37">
        <v>0</v>
      </c>
      <c r="BF37" s="3">
        <f t="shared" si="27"/>
        <v>0</v>
      </c>
      <c r="BG37">
        <v>532100</v>
      </c>
      <c r="BH37" s="3">
        <f t="shared" si="28"/>
        <v>5.2631058358061325E-2</v>
      </c>
      <c r="BI37">
        <v>760000</v>
      </c>
      <c r="BJ37" s="3">
        <f t="shared" si="29"/>
        <v>0.04</v>
      </c>
      <c r="BK37">
        <v>2400000000</v>
      </c>
      <c r="BL37" s="3">
        <f t="shared" si="30"/>
        <v>8.0000000000000002E-3</v>
      </c>
      <c r="BM37">
        <v>17710000</v>
      </c>
      <c r="BN37" s="3">
        <f t="shared" si="31"/>
        <v>2.1975431194937337E-2</v>
      </c>
      <c r="BO37">
        <v>36</v>
      </c>
      <c r="BP37" s="3">
        <f t="shared" si="32"/>
        <v>5.6135973803212221E-3</v>
      </c>
      <c r="BQ37">
        <v>8</v>
      </c>
      <c r="BR37" s="3">
        <f t="shared" si="33"/>
        <v>0.33333333333333331</v>
      </c>
      <c r="BS37">
        <v>231374</v>
      </c>
      <c r="BT37" s="3">
        <f t="shared" si="34"/>
        <v>3.5127933792952669E-2</v>
      </c>
      <c r="BU37">
        <v>36966</v>
      </c>
      <c r="BV37" s="3">
        <f t="shared" si="35"/>
        <v>0.16444535392718601</v>
      </c>
      <c r="BW37">
        <v>1138</v>
      </c>
      <c r="BX37" s="3">
        <f t="shared" si="36"/>
        <v>8.4215200177606753E-2</v>
      </c>
      <c r="BY37">
        <v>4330</v>
      </c>
      <c r="BZ37" s="3">
        <f t="shared" si="37"/>
        <v>7.3664511738686629E-3</v>
      </c>
      <c r="CA37" s="1">
        <v>155100</v>
      </c>
      <c r="CB37">
        <v>32110</v>
      </c>
      <c r="CC37" s="3">
        <f t="shared" si="38"/>
        <v>1.0384864165588616E-2</v>
      </c>
      <c r="CD37">
        <v>879400</v>
      </c>
      <c r="CE37" s="3">
        <f t="shared" si="39"/>
        <v>4.1344616831217679E-2</v>
      </c>
      <c r="CF37" s="2">
        <v>2780400</v>
      </c>
      <c r="CG37" s="3">
        <f t="shared" si="40"/>
        <v>0.83738679099289859</v>
      </c>
      <c r="CH37" s="2">
        <v>4989</v>
      </c>
      <c r="CI37" s="3">
        <f t="shared" si="41"/>
        <v>0.97531175771971501</v>
      </c>
      <c r="CJ37" s="2">
        <v>11968</v>
      </c>
      <c r="CK37" s="3">
        <f t="shared" si="42"/>
        <v>0.46707040121120358</v>
      </c>
      <c r="CL37" s="1">
        <v>11000</v>
      </c>
    </row>
    <row r="38" spans="1:90" x14ac:dyDescent="0.3">
      <c r="A38" t="s">
        <v>118</v>
      </c>
      <c r="B38" t="s">
        <v>119</v>
      </c>
      <c r="C38">
        <v>36</v>
      </c>
      <c r="D38" s="9">
        <f t="shared" si="1"/>
        <v>49</v>
      </c>
      <c r="E38" s="9">
        <f t="shared" si="0"/>
        <v>3.9815427325240069</v>
      </c>
      <c r="F38" s="1">
        <v>5265158</v>
      </c>
      <c r="G38">
        <v>2150000</v>
      </c>
      <c r="H38" s="3">
        <f t="shared" si="2"/>
        <v>2.8666666666666667E-3</v>
      </c>
      <c r="I38">
        <v>1755000</v>
      </c>
      <c r="J38" s="3">
        <f t="shared" si="3"/>
        <v>2.8352180936995152E-3</v>
      </c>
      <c r="K38">
        <v>65000</v>
      </c>
      <c r="L38" s="3">
        <f t="shared" si="4"/>
        <v>2.8384279475982535E-3</v>
      </c>
      <c r="M38">
        <v>72500</v>
      </c>
      <c r="N38" s="3">
        <f t="shared" si="5"/>
        <v>1.1249030256012413E-2</v>
      </c>
      <c r="O38">
        <v>26500</v>
      </c>
      <c r="P38" s="3">
        <f t="shared" si="6"/>
        <v>1.1725663716814159E-2</v>
      </c>
      <c r="Q38">
        <v>46000</v>
      </c>
      <c r="R38" s="3">
        <f t="shared" si="7"/>
        <v>8.363636363636363E-3</v>
      </c>
      <c r="S38">
        <v>106</v>
      </c>
      <c r="T38" s="3">
        <f t="shared" si="8"/>
        <v>7.7023688417381195E-3</v>
      </c>
      <c r="U38">
        <v>46</v>
      </c>
      <c r="V38" s="3">
        <f t="shared" si="9"/>
        <v>2.0034843205574911E-2</v>
      </c>
      <c r="W38">
        <v>46</v>
      </c>
      <c r="X38" s="3">
        <f t="shared" si="10"/>
        <v>1.651705565529623E-2</v>
      </c>
      <c r="Y38">
        <v>38</v>
      </c>
      <c r="Z38" s="3">
        <f t="shared" si="11"/>
        <v>6.6213626067259104E-3</v>
      </c>
      <c r="AA38">
        <v>14</v>
      </c>
      <c r="AB38" s="3">
        <f t="shared" si="12"/>
        <v>4.9452490286117983E-3</v>
      </c>
      <c r="AC38">
        <v>35</v>
      </c>
      <c r="AD38" s="3">
        <f t="shared" si="13"/>
        <v>5.7708161582852432E-3</v>
      </c>
      <c r="AE38">
        <v>0</v>
      </c>
      <c r="AF38" s="3">
        <f t="shared" si="14"/>
        <v>0</v>
      </c>
      <c r="AG38">
        <v>52</v>
      </c>
      <c r="AH38" s="3">
        <f t="shared" si="15"/>
        <v>2.5722200237435692E-3</v>
      </c>
      <c r="AI38">
        <v>684</v>
      </c>
      <c r="AJ38" s="3">
        <f t="shared" si="16"/>
        <v>1.6657737080512394E-2</v>
      </c>
      <c r="AK38">
        <v>54</v>
      </c>
      <c r="AL38" s="3">
        <f t="shared" si="17"/>
        <v>9.0421969189551244E-3</v>
      </c>
      <c r="AM38">
        <v>150</v>
      </c>
      <c r="AN38" s="3">
        <f t="shared" si="18"/>
        <v>2.0231993525762073E-2</v>
      </c>
      <c r="AO38">
        <v>0</v>
      </c>
      <c r="AP38" s="3">
        <f t="shared" si="19"/>
        <v>0</v>
      </c>
      <c r="AQ38">
        <v>62</v>
      </c>
      <c r="AR38" s="3">
        <f t="shared" si="20"/>
        <v>6.4115822130299899E-2</v>
      </c>
      <c r="AS38">
        <v>0</v>
      </c>
      <c r="AT38" s="3">
        <f t="shared" si="21"/>
        <v>0</v>
      </c>
      <c r="AU38">
        <v>5</v>
      </c>
      <c r="AV38" s="3">
        <f t="shared" si="22"/>
        <v>9.8039215686274508E-2</v>
      </c>
      <c r="AW38">
        <v>0</v>
      </c>
      <c r="AX38" s="3">
        <f t="shared" si="23"/>
        <v>0</v>
      </c>
      <c r="AY38">
        <v>0</v>
      </c>
      <c r="AZ38" s="3">
        <f t="shared" si="24"/>
        <v>0</v>
      </c>
      <c r="BA38">
        <v>6</v>
      </c>
      <c r="BB38" s="3">
        <f t="shared" si="25"/>
        <v>7.8947368421052627E-2</v>
      </c>
      <c r="BC38">
        <v>16</v>
      </c>
      <c r="BD38" s="3">
        <f t="shared" si="26"/>
        <v>3.6529680365296802E-2</v>
      </c>
      <c r="BE38">
        <v>9</v>
      </c>
      <c r="BF38" s="3">
        <f t="shared" si="27"/>
        <v>0.19565217391304349</v>
      </c>
      <c r="BG38">
        <v>1568000</v>
      </c>
      <c r="BH38" s="3">
        <f t="shared" si="28"/>
        <v>0.15509396636993075</v>
      </c>
      <c r="BI38">
        <v>223000</v>
      </c>
      <c r="BJ38" s="3">
        <f t="shared" si="29"/>
        <v>1.1736842105263158E-2</v>
      </c>
      <c r="BK38">
        <v>5100000000</v>
      </c>
      <c r="BL38" s="3">
        <f t="shared" si="30"/>
        <v>1.7000000000000001E-2</v>
      </c>
      <c r="BM38">
        <v>2794000</v>
      </c>
      <c r="BN38" s="3">
        <f t="shared" si="31"/>
        <v>3.4669313810646481E-3</v>
      </c>
      <c r="BO38">
        <v>585</v>
      </c>
      <c r="BP38" s="3">
        <f t="shared" si="32"/>
        <v>9.1220957430219865E-2</v>
      </c>
      <c r="BQ38">
        <v>6</v>
      </c>
      <c r="BR38" s="3">
        <f t="shared" si="33"/>
        <v>0.25</v>
      </c>
      <c r="BS38">
        <v>93509</v>
      </c>
      <c r="BT38" s="3">
        <f t="shared" si="34"/>
        <v>1.4196832665058353E-2</v>
      </c>
      <c r="BU38">
        <v>4169</v>
      </c>
      <c r="BV38" s="3">
        <f t="shared" si="35"/>
        <v>1.8546033666678528E-2</v>
      </c>
      <c r="BW38">
        <v>95</v>
      </c>
      <c r="BX38" s="3">
        <f t="shared" si="36"/>
        <v>7.0302671501517059E-3</v>
      </c>
      <c r="BY38">
        <v>7000</v>
      </c>
      <c r="BZ38" s="3">
        <f t="shared" si="37"/>
        <v>1.1908812521265737E-2</v>
      </c>
      <c r="CA38" s="1">
        <v>642300</v>
      </c>
      <c r="CB38">
        <v>57460</v>
      </c>
      <c r="CC38" s="3">
        <f t="shared" si="38"/>
        <v>1.8583441138421735E-2</v>
      </c>
      <c r="CD38">
        <v>364700</v>
      </c>
      <c r="CE38" s="3">
        <f t="shared" si="39"/>
        <v>1.7146215326751292E-2</v>
      </c>
      <c r="CF38" s="2">
        <v>323802</v>
      </c>
      <c r="CG38" s="3">
        <f t="shared" si="40"/>
        <v>0.98106226359411686</v>
      </c>
      <c r="CH38" s="2">
        <v>25148</v>
      </c>
      <c r="CI38" s="3">
        <f t="shared" si="41"/>
        <v>0.87555423594615989</v>
      </c>
      <c r="CJ38" s="2">
        <v>2566</v>
      </c>
      <c r="CK38" s="3">
        <f t="shared" si="42"/>
        <v>0.88573718662332457</v>
      </c>
      <c r="CL38" s="1">
        <v>1577</v>
      </c>
    </row>
    <row r="39" spans="1:90" x14ac:dyDescent="0.3">
      <c r="A39" t="s">
        <v>120</v>
      </c>
      <c r="B39" t="s">
        <v>121</v>
      </c>
      <c r="C39">
        <v>37</v>
      </c>
      <c r="D39" s="9">
        <f t="shared" ref="D39:D70" si="43">RANK(E39,$E$2:$E$135)</f>
        <v>68</v>
      </c>
      <c r="E39" s="9">
        <f t="shared" si="0"/>
        <v>3.4992144688142295</v>
      </c>
      <c r="F39" s="1">
        <v>8179294</v>
      </c>
      <c r="G39">
        <v>3615000</v>
      </c>
      <c r="H39" s="3">
        <f t="shared" ref="H39:H70" si="44">G39/VALUE(H$137)</f>
        <v>4.8199999999999996E-3</v>
      </c>
      <c r="I39">
        <v>3000000</v>
      </c>
      <c r="J39" s="3">
        <f t="shared" ref="J39:J70" si="45">I39/VALUE(J$137)</f>
        <v>4.8465266558966073E-3</v>
      </c>
      <c r="K39">
        <v>90000</v>
      </c>
      <c r="L39" s="3">
        <f t="shared" ref="L39:L70" si="46">K39/VALUE(L$137)</f>
        <v>3.9301310043668124E-3</v>
      </c>
      <c r="M39">
        <v>171000</v>
      </c>
      <c r="N39" s="3">
        <f t="shared" ref="N39:N70" si="47">M39/VALUE(N$137)</f>
        <v>2.6532195500387899E-2</v>
      </c>
      <c r="O39">
        <v>21000</v>
      </c>
      <c r="P39" s="3">
        <f t="shared" ref="P39:P70" si="48">O39/VALUE(P$137)</f>
        <v>9.2920353982300884E-3</v>
      </c>
      <c r="Q39">
        <v>150000</v>
      </c>
      <c r="R39" s="3">
        <f t="shared" ref="R39:R70" si="49">Q39/VALUE(R$137)</f>
        <v>2.7272727272727271E-2</v>
      </c>
      <c r="S39">
        <v>183</v>
      </c>
      <c r="T39" s="3">
        <f t="shared" ref="T39:T70" si="50">S39/VALUE(T$137)</f>
        <v>1.3297485830547885E-2</v>
      </c>
      <c r="U39">
        <v>64</v>
      </c>
      <c r="V39" s="3">
        <f t="shared" ref="V39:V70" si="51">U39/VALUE(V$137)</f>
        <v>2.7874564459930314E-2</v>
      </c>
      <c r="W39">
        <v>63</v>
      </c>
      <c r="X39" s="3">
        <f t="shared" ref="X39:X70" si="52">W39/VALUE($X$137)</f>
        <v>2.2621184919210054E-2</v>
      </c>
      <c r="Y39">
        <v>61</v>
      </c>
      <c r="Z39" s="3">
        <f t="shared" ref="Z39:Z70" si="53">Y39/VALUE($Z$137)</f>
        <v>1.0629029447638962E-2</v>
      </c>
      <c r="AA39">
        <v>61</v>
      </c>
      <c r="AB39" s="3">
        <f t="shared" ref="AB39:AB70" si="54">AA39/VALUE($AB$137)</f>
        <v>2.1547156481808549E-2</v>
      </c>
      <c r="AC39">
        <v>42</v>
      </c>
      <c r="AD39" s="3">
        <f t="shared" ref="AD39:AD70" si="55">AC39/VALUE($AD$137)</f>
        <v>6.9249793899422915E-3</v>
      </c>
      <c r="AE39">
        <v>0</v>
      </c>
      <c r="AF39" s="3">
        <f t="shared" ref="AF39:AF70" si="56">AE39/VALUE($AF$137)</f>
        <v>0</v>
      </c>
      <c r="AG39">
        <v>134</v>
      </c>
      <c r="AH39" s="3">
        <f t="shared" ref="AH39:AH70" si="57">AG39/VALUE($AH$137)</f>
        <v>6.6284131381084289E-3</v>
      </c>
      <c r="AI39">
        <v>1032</v>
      </c>
      <c r="AJ39" s="3">
        <f t="shared" ref="AJ39:AJ70" si="58">AI39/VALUE(AJ$137)</f>
        <v>2.5132726121474842E-2</v>
      </c>
      <c r="AK39">
        <v>224</v>
      </c>
      <c r="AL39" s="3">
        <f t="shared" ref="AL39:AL70" si="59">AK39/VALUE(AL$137)</f>
        <v>3.7508372404554589E-2</v>
      </c>
      <c r="AM39">
        <v>0</v>
      </c>
      <c r="AN39" s="3">
        <f t="shared" ref="AN39:AN70" si="60">AM39/VALUE(AN$137)</f>
        <v>0</v>
      </c>
      <c r="AO39">
        <v>0</v>
      </c>
      <c r="AP39" s="3">
        <f t="shared" ref="AP39:AP70" si="61">AO39/VALUE(AP$137)</f>
        <v>0</v>
      </c>
      <c r="AQ39">
        <v>0</v>
      </c>
      <c r="AR39" s="3">
        <f t="shared" ref="AR39:AR70" si="62">AQ39/VALUE(AR$137)</f>
        <v>0</v>
      </c>
      <c r="AS39">
        <v>0</v>
      </c>
      <c r="AT39" s="3">
        <f t="shared" ref="AT39:AT70" si="63">AS39/VALUE(AT$137)</f>
        <v>0</v>
      </c>
      <c r="AU39">
        <v>0</v>
      </c>
      <c r="AV39" s="3">
        <f t="shared" ref="AV39:AV70" si="64">AU39/VALUE(AV$137)</f>
        <v>0</v>
      </c>
      <c r="AW39">
        <v>0</v>
      </c>
      <c r="AX39" s="3">
        <f t="shared" ref="AX39:AX70" si="65">AW39/VALUE(AX$137)</f>
        <v>0</v>
      </c>
      <c r="AY39">
        <v>0</v>
      </c>
      <c r="AZ39" s="3">
        <f t="shared" ref="AZ39:AZ70" si="66">AY39/VALUE(AZ$137)</f>
        <v>0</v>
      </c>
      <c r="BA39">
        <v>0</v>
      </c>
      <c r="BB39" s="3">
        <f t="shared" ref="BB39:BB70" si="67">BA39/VALUE(BB$137)</f>
        <v>0</v>
      </c>
      <c r="BC39">
        <v>0</v>
      </c>
      <c r="BD39" s="3">
        <f t="shared" ref="BD39:BD70" si="68">BC39/VALUE(BD$137)</f>
        <v>0</v>
      </c>
      <c r="BE39">
        <v>0</v>
      </c>
      <c r="BF39" s="3">
        <f t="shared" ref="BF39:BF70" si="69">BE39/VALUE(BF$137)</f>
        <v>0</v>
      </c>
      <c r="BG39">
        <v>500</v>
      </c>
      <c r="BH39" s="3">
        <f t="shared" ref="BH39:BH70" si="70">BG39/VALUE(BH$137)</f>
        <v>4.9455984174085062E-5</v>
      </c>
      <c r="BI39">
        <v>265000</v>
      </c>
      <c r="BJ39" s="3">
        <f t="shared" ref="BJ39:BJ70" si="71">BI39/VALUE(BJ$137)</f>
        <v>1.3947368421052632E-2</v>
      </c>
      <c r="BK39">
        <v>0</v>
      </c>
      <c r="BL39" s="3">
        <f t="shared" ref="BL39:BL70" si="72">BK39/VALUE(BL$137)</f>
        <v>0</v>
      </c>
      <c r="BM39">
        <v>5173000</v>
      </c>
      <c r="BN39" s="3">
        <f t="shared" ref="BN39:BN70" si="73">BM39/VALUE(BN$137)</f>
        <v>6.4189105348058072E-3</v>
      </c>
      <c r="BO39">
        <v>38</v>
      </c>
      <c r="BP39" s="3">
        <f t="shared" ref="BP39:BP70" si="74">BO39/VALUE(BP$137)</f>
        <v>5.925463901450179E-3</v>
      </c>
      <c r="BQ39">
        <v>1</v>
      </c>
      <c r="BR39" s="3">
        <f t="shared" ref="BR39:BR70" si="75">BQ39/VALUE(BR$137)</f>
        <v>4.1666666666666664E-2</v>
      </c>
      <c r="BS39">
        <v>71454</v>
      </c>
      <c r="BT39" s="3">
        <f t="shared" ref="BT39:BT70" si="76">BS39/VALUE(BT$137)</f>
        <v>1.0848372683368227E-2</v>
      </c>
      <c r="BU39">
        <v>4876</v>
      </c>
      <c r="BV39" s="3">
        <f t="shared" ref="BV39:BV70" si="77">BU39/VALUE(BV$137)</f>
        <v>2.1691163386597389E-2</v>
      </c>
      <c r="BW39">
        <v>63</v>
      </c>
      <c r="BX39" s="3">
        <f t="shared" ref="BX39:BX70" si="78">BW39/VALUE(BX$137)</f>
        <v>4.6621771627321836E-3</v>
      </c>
      <c r="BY39">
        <v>4830</v>
      </c>
      <c r="BZ39" s="3">
        <f t="shared" ref="BZ39:BZ70" si="79">BY39/VALUE(BZ$137)</f>
        <v>8.2170806396733576E-3</v>
      </c>
      <c r="CA39" s="1">
        <v>1664000</v>
      </c>
      <c r="CB39">
        <v>602700</v>
      </c>
      <c r="CC39" s="3">
        <f t="shared" ref="CC39:CC70" si="80">CB39/VALUE(CC$137)</f>
        <v>0.19492238033635187</v>
      </c>
      <c r="CD39">
        <v>494300</v>
      </c>
      <c r="CE39" s="3">
        <f t="shared" ref="CE39:CE70" si="81">CD39/VALUE(CE$137)</f>
        <v>2.3239304184297132E-2</v>
      </c>
      <c r="CF39" s="2">
        <v>41277</v>
      </c>
      <c r="CG39" s="3">
        <f t="shared" ref="CG39:CG70" si="82">1-(CF39/VALUE(CG$137))</f>
        <v>0.99758589216365046</v>
      </c>
      <c r="CH39" s="2">
        <v>0</v>
      </c>
      <c r="CI39" s="3">
        <f t="shared" ref="CI39:CI70" si="83">1-(CH39/VALUE(CI$137))</f>
        <v>1</v>
      </c>
      <c r="CJ39" s="2">
        <v>1770</v>
      </c>
      <c r="CK39" s="3">
        <f t="shared" ref="CK39:CK70" si="84">1-(CJ39/VALUE(CK$137))</f>
        <v>0.92118270472458474</v>
      </c>
      <c r="CL39" s="1">
        <v>1299</v>
      </c>
    </row>
    <row r="40" spans="1:90" x14ac:dyDescent="0.3">
      <c r="A40" t="s">
        <v>122</v>
      </c>
      <c r="B40" t="s">
        <v>123</v>
      </c>
      <c r="C40">
        <v>38</v>
      </c>
      <c r="D40" s="9">
        <f t="shared" si="43"/>
        <v>44</v>
      </c>
      <c r="E40" s="9">
        <f t="shared" si="0"/>
        <v>4.0859209169287336</v>
      </c>
      <c r="F40" s="1">
        <v>17016967</v>
      </c>
      <c r="G40">
        <v>7800000</v>
      </c>
      <c r="H40" s="3">
        <f t="shared" si="44"/>
        <v>1.04E-2</v>
      </c>
      <c r="I40">
        <v>6325000</v>
      </c>
      <c r="J40" s="3">
        <f t="shared" si="45"/>
        <v>1.0218093699515348E-2</v>
      </c>
      <c r="K40">
        <v>202000</v>
      </c>
      <c r="L40" s="3">
        <f t="shared" si="46"/>
        <v>8.8209606986899558E-3</v>
      </c>
      <c r="M40">
        <v>53205</v>
      </c>
      <c r="N40" s="3">
        <f t="shared" si="47"/>
        <v>8.2552366175329718E-3</v>
      </c>
      <c r="O40">
        <v>42705</v>
      </c>
      <c r="P40" s="3">
        <f t="shared" si="48"/>
        <v>1.8896017699115045E-2</v>
      </c>
      <c r="Q40">
        <v>10500</v>
      </c>
      <c r="R40" s="3">
        <f t="shared" si="49"/>
        <v>1.9090909090909091E-3</v>
      </c>
      <c r="S40">
        <v>164</v>
      </c>
      <c r="T40" s="3">
        <f t="shared" si="50"/>
        <v>1.1916872547594826E-2</v>
      </c>
      <c r="U40">
        <v>61</v>
      </c>
      <c r="V40" s="3">
        <f t="shared" si="51"/>
        <v>2.656794425087108E-2</v>
      </c>
      <c r="W40">
        <v>66</v>
      </c>
      <c r="X40" s="3">
        <f t="shared" si="52"/>
        <v>2.3698384201077199E-2</v>
      </c>
      <c r="Y40">
        <v>45</v>
      </c>
      <c r="Z40" s="3">
        <f t="shared" si="53"/>
        <v>7.8410872974385773E-3</v>
      </c>
      <c r="AA40">
        <v>23</v>
      </c>
      <c r="AB40" s="3">
        <f t="shared" si="54"/>
        <v>8.1243376898622391E-3</v>
      </c>
      <c r="AC40">
        <v>74</v>
      </c>
      <c r="AD40" s="3">
        <f t="shared" si="55"/>
        <v>1.2201154163231658E-2</v>
      </c>
      <c r="AE40">
        <v>28</v>
      </c>
      <c r="AF40" s="3">
        <f t="shared" si="56"/>
        <v>2.9567053854276663E-2</v>
      </c>
      <c r="AG40">
        <v>0</v>
      </c>
      <c r="AH40" s="3">
        <f t="shared" si="57"/>
        <v>0</v>
      </c>
      <c r="AI40">
        <v>979</v>
      </c>
      <c r="AJ40" s="3">
        <f t="shared" si="58"/>
        <v>2.3841995031902975E-2</v>
      </c>
      <c r="AK40">
        <v>18</v>
      </c>
      <c r="AL40" s="3">
        <f t="shared" si="59"/>
        <v>3.0140656396517081E-3</v>
      </c>
      <c r="AM40">
        <v>0</v>
      </c>
      <c r="AN40" s="3">
        <f t="shared" si="60"/>
        <v>0</v>
      </c>
      <c r="AO40">
        <v>0</v>
      </c>
      <c r="AP40" s="3">
        <f t="shared" si="61"/>
        <v>0</v>
      </c>
      <c r="AQ40">
        <v>56</v>
      </c>
      <c r="AR40" s="3">
        <f t="shared" si="62"/>
        <v>5.7911065149948295E-2</v>
      </c>
      <c r="AS40">
        <v>0</v>
      </c>
      <c r="AT40" s="3">
        <f t="shared" si="63"/>
        <v>0</v>
      </c>
      <c r="AU40">
        <v>2</v>
      </c>
      <c r="AV40" s="3">
        <f t="shared" si="64"/>
        <v>3.9215686274509803E-2</v>
      </c>
      <c r="AW40">
        <v>4</v>
      </c>
      <c r="AX40" s="3">
        <f t="shared" si="65"/>
        <v>6.3492063492063489E-2</v>
      </c>
      <c r="AY40">
        <v>0</v>
      </c>
      <c r="AZ40" s="3">
        <f t="shared" si="66"/>
        <v>0</v>
      </c>
      <c r="BA40">
        <v>4</v>
      </c>
      <c r="BB40" s="3">
        <f t="shared" si="67"/>
        <v>5.2631578947368418E-2</v>
      </c>
      <c r="BC40">
        <v>4</v>
      </c>
      <c r="BD40" s="3">
        <f t="shared" si="68"/>
        <v>9.1324200913242004E-3</v>
      </c>
      <c r="BE40">
        <v>6</v>
      </c>
      <c r="BF40" s="3">
        <f t="shared" si="69"/>
        <v>0.13043478260869565</v>
      </c>
      <c r="BG40">
        <v>28120</v>
      </c>
      <c r="BH40" s="3">
        <f t="shared" si="70"/>
        <v>2.7814045499505442E-3</v>
      </c>
      <c r="BI40">
        <v>990000</v>
      </c>
      <c r="BJ40" s="3">
        <f t="shared" si="71"/>
        <v>5.2105263157894738E-2</v>
      </c>
      <c r="BK40">
        <v>144700000</v>
      </c>
      <c r="BL40" s="3">
        <f t="shared" si="72"/>
        <v>4.8233333333333331E-4</v>
      </c>
      <c r="BM40">
        <v>7919000</v>
      </c>
      <c r="BN40" s="3">
        <f t="shared" si="73"/>
        <v>9.8262811763246052E-3</v>
      </c>
      <c r="BO40">
        <v>744</v>
      </c>
      <c r="BP40" s="3">
        <f t="shared" si="74"/>
        <v>0.11601434585997193</v>
      </c>
      <c r="BQ40">
        <v>7</v>
      </c>
      <c r="BR40" s="3">
        <f t="shared" si="75"/>
        <v>0.29166666666666669</v>
      </c>
      <c r="BS40">
        <v>139295</v>
      </c>
      <c r="BT40" s="3">
        <f t="shared" si="76"/>
        <v>2.114820825887672E-2</v>
      </c>
      <c r="BU40">
        <v>3013</v>
      </c>
      <c r="BV40" s="3">
        <f t="shared" si="77"/>
        <v>1.3403501903982347E-2</v>
      </c>
      <c r="BW40">
        <v>29</v>
      </c>
      <c r="BX40" s="3">
        <f t="shared" si="78"/>
        <v>2.1460815510989419E-3</v>
      </c>
      <c r="BY40">
        <v>9840</v>
      </c>
      <c r="BZ40" s="3">
        <f t="shared" si="79"/>
        <v>1.6740387887036409E-2</v>
      </c>
      <c r="CA40" s="1">
        <v>4284000</v>
      </c>
      <c r="CB40">
        <v>38210</v>
      </c>
      <c r="CC40" s="3">
        <f t="shared" si="80"/>
        <v>1.2357697283311772E-2</v>
      </c>
      <c r="CD40">
        <v>865900</v>
      </c>
      <c r="CE40" s="3">
        <f t="shared" si="81"/>
        <v>4.0709920075223317E-2</v>
      </c>
      <c r="CF40" s="2">
        <v>41543</v>
      </c>
      <c r="CG40" s="3">
        <f t="shared" si="82"/>
        <v>0.99757033500871028</v>
      </c>
      <c r="CH40" s="2">
        <v>451</v>
      </c>
      <c r="CI40" s="3">
        <f t="shared" si="83"/>
        <v>0.99776821060965959</v>
      </c>
      <c r="CJ40" s="2">
        <v>1053</v>
      </c>
      <c r="CK40" s="3">
        <f t="shared" si="84"/>
        <v>0.95311038874293097</v>
      </c>
      <c r="CL40" s="1">
        <v>6237</v>
      </c>
    </row>
    <row r="41" spans="1:90" x14ac:dyDescent="0.3">
      <c r="A41" t="s">
        <v>124</v>
      </c>
      <c r="B41" t="s">
        <v>125</v>
      </c>
      <c r="C41">
        <v>39</v>
      </c>
      <c r="D41" s="9">
        <f t="shared" si="43"/>
        <v>52</v>
      </c>
      <c r="E41" s="9">
        <f t="shared" si="0"/>
        <v>3.8821661772806908</v>
      </c>
      <c r="F41" s="1">
        <v>30741062</v>
      </c>
      <c r="G41">
        <v>15200000</v>
      </c>
      <c r="H41" s="3">
        <f t="shared" si="44"/>
        <v>2.0266666666666665E-2</v>
      </c>
      <c r="I41">
        <v>12355000</v>
      </c>
      <c r="J41" s="3">
        <f t="shared" si="45"/>
        <v>1.9959612277867529E-2</v>
      </c>
      <c r="K41">
        <v>605000</v>
      </c>
      <c r="L41" s="3">
        <f t="shared" si="46"/>
        <v>2.6419213973799125E-2</v>
      </c>
      <c r="M41">
        <v>369330</v>
      </c>
      <c r="N41" s="3">
        <f t="shared" si="47"/>
        <v>5.7304887509697443E-2</v>
      </c>
      <c r="O41">
        <v>100830</v>
      </c>
      <c r="P41" s="3">
        <f t="shared" si="48"/>
        <v>4.4615044247787609E-2</v>
      </c>
      <c r="Q41">
        <v>268500</v>
      </c>
      <c r="R41" s="3">
        <f t="shared" si="49"/>
        <v>4.8818181818181816E-2</v>
      </c>
      <c r="S41">
        <v>267</v>
      </c>
      <c r="T41" s="3">
        <f t="shared" si="50"/>
        <v>1.9401249818340356E-2</v>
      </c>
      <c r="U41">
        <v>28</v>
      </c>
      <c r="V41" s="3">
        <f t="shared" si="51"/>
        <v>1.2195121951219513E-2</v>
      </c>
      <c r="W41">
        <v>68</v>
      </c>
      <c r="X41" s="3">
        <f t="shared" si="52"/>
        <v>2.4416517055655295E-2</v>
      </c>
      <c r="Y41">
        <v>107</v>
      </c>
      <c r="Z41" s="3">
        <f t="shared" si="53"/>
        <v>1.8644363129465064E-2</v>
      </c>
      <c r="AA41">
        <v>60</v>
      </c>
      <c r="AB41" s="3">
        <f t="shared" si="54"/>
        <v>2.1193924408336277E-2</v>
      </c>
      <c r="AC41">
        <v>97</v>
      </c>
      <c r="AD41" s="3">
        <f t="shared" si="55"/>
        <v>1.5993404781533389E-2</v>
      </c>
      <c r="AE41">
        <v>16</v>
      </c>
      <c r="AF41" s="3">
        <f t="shared" si="56"/>
        <v>1.6895459345300949E-2</v>
      </c>
      <c r="AG41">
        <v>85</v>
      </c>
      <c r="AH41" s="3">
        <f t="shared" si="57"/>
        <v>4.2045904234269882E-3</v>
      </c>
      <c r="AI41">
        <v>890</v>
      </c>
      <c r="AJ41" s="3">
        <f t="shared" si="58"/>
        <v>2.1674540938093616E-2</v>
      </c>
      <c r="AK41">
        <v>12</v>
      </c>
      <c r="AL41" s="3">
        <f t="shared" si="59"/>
        <v>2.0093770931011385E-3</v>
      </c>
      <c r="AM41">
        <v>243</v>
      </c>
      <c r="AN41" s="3">
        <f t="shared" si="60"/>
        <v>3.2775829511734557E-2</v>
      </c>
      <c r="AO41">
        <v>80</v>
      </c>
      <c r="AP41" s="3">
        <f t="shared" si="61"/>
        <v>2.1091484313208543E-2</v>
      </c>
      <c r="AQ41">
        <v>60</v>
      </c>
      <c r="AR41" s="3">
        <f t="shared" si="62"/>
        <v>6.2047569803516028E-2</v>
      </c>
      <c r="AS41">
        <v>0</v>
      </c>
      <c r="AT41" s="3">
        <f t="shared" si="63"/>
        <v>0</v>
      </c>
      <c r="AU41">
        <v>8</v>
      </c>
      <c r="AV41" s="3">
        <f t="shared" si="64"/>
        <v>0.15686274509803921</v>
      </c>
      <c r="AW41">
        <v>0</v>
      </c>
      <c r="AX41" s="3">
        <f t="shared" si="65"/>
        <v>0</v>
      </c>
      <c r="AY41">
        <v>6</v>
      </c>
      <c r="AZ41" s="3">
        <f t="shared" si="66"/>
        <v>7.407407407407407E-2</v>
      </c>
      <c r="BA41">
        <v>6</v>
      </c>
      <c r="BB41" s="3">
        <f t="shared" si="67"/>
        <v>7.8947368421052627E-2</v>
      </c>
      <c r="BC41">
        <v>9</v>
      </c>
      <c r="BD41" s="3">
        <f t="shared" si="68"/>
        <v>2.0547945205479451E-2</v>
      </c>
      <c r="BE41">
        <v>0</v>
      </c>
      <c r="BF41" s="3">
        <f t="shared" si="69"/>
        <v>0</v>
      </c>
      <c r="BG41">
        <v>69300</v>
      </c>
      <c r="BH41" s="3">
        <f t="shared" si="70"/>
        <v>6.8545994065281899E-3</v>
      </c>
      <c r="BI41">
        <v>172000</v>
      </c>
      <c r="BJ41" s="3">
        <f t="shared" si="71"/>
        <v>9.0526315789473677E-3</v>
      </c>
      <c r="BK41">
        <v>700000000</v>
      </c>
      <c r="BL41" s="3">
        <f t="shared" si="72"/>
        <v>2.3333333333333335E-3</v>
      </c>
      <c r="BM41">
        <v>17120000</v>
      </c>
      <c r="BN41" s="3">
        <f t="shared" si="73"/>
        <v>2.1243330438019604E-2</v>
      </c>
      <c r="BO41">
        <v>22</v>
      </c>
      <c r="BP41" s="3">
        <f t="shared" si="74"/>
        <v>3.4305317324185248E-3</v>
      </c>
      <c r="BQ41">
        <v>8</v>
      </c>
      <c r="BR41" s="3">
        <f t="shared" si="75"/>
        <v>0.33333333333333331</v>
      </c>
      <c r="BS41">
        <v>140672</v>
      </c>
      <c r="BT41" s="3">
        <f t="shared" si="76"/>
        <v>2.1357268761927607E-2</v>
      </c>
      <c r="BU41">
        <v>1907</v>
      </c>
      <c r="BV41" s="3">
        <f t="shared" si="77"/>
        <v>8.4833979856934402E-3</v>
      </c>
      <c r="BW41">
        <v>191</v>
      </c>
      <c r="BX41" s="3">
        <f t="shared" si="78"/>
        <v>1.4134537112410271E-2</v>
      </c>
      <c r="BY41">
        <v>2560</v>
      </c>
      <c r="BZ41" s="3">
        <f t="shared" si="79"/>
        <v>4.3552228649200407E-3</v>
      </c>
      <c r="CA41" s="1">
        <v>69780</v>
      </c>
      <c r="CB41">
        <v>60410</v>
      </c>
      <c r="CC41" s="3">
        <f t="shared" si="80"/>
        <v>1.9537516170763259E-2</v>
      </c>
      <c r="CD41">
        <v>409900</v>
      </c>
      <c r="CE41" s="3">
        <f t="shared" si="81"/>
        <v>1.927127409496944E-2</v>
      </c>
      <c r="CF41" s="2">
        <v>1285216</v>
      </c>
      <c r="CG41" s="3">
        <f t="shared" si="82"/>
        <v>0.92483344194099015</v>
      </c>
      <c r="CH41" s="2">
        <v>2414</v>
      </c>
      <c r="CI41" s="3">
        <f t="shared" si="83"/>
        <v>0.98805423594615993</v>
      </c>
      <c r="CJ41" s="2">
        <v>7062</v>
      </c>
      <c r="CK41" s="3">
        <f t="shared" si="84"/>
        <v>0.6855323507146992</v>
      </c>
      <c r="CL41" s="1">
        <v>8808</v>
      </c>
    </row>
    <row r="42" spans="1:90" x14ac:dyDescent="0.3">
      <c r="A42" t="s">
        <v>126</v>
      </c>
      <c r="B42" t="s">
        <v>127</v>
      </c>
      <c r="C42">
        <v>40</v>
      </c>
      <c r="D42" s="9">
        <f t="shared" si="43"/>
        <v>34</v>
      </c>
      <c r="E42" s="9">
        <f t="shared" si="0"/>
        <v>4.4238151084278279</v>
      </c>
      <c r="F42" s="1">
        <v>47220856</v>
      </c>
      <c r="G42">
        <v>24000000</v>
      </c>
      <c r="H42" s="3">
        <f t="shared" si="44"/>
        <v>3.2000000000000001E-2</v>
      </c>
      <c r="I42">
        <v>19015000</v>
      </c>
      <c r="J42" s="3">
        <f t="shared" si="45"/>
        <v>3.0718901453957996E-2</v>
      </c>
      <c r="K42">
        <v>845000</v>
      </c>
      <c r="L42" s="3">
        <f t="shared" si="46"/>
        <v>3.6899563318777293E-2</v>
      </c>
      <c r="M42">
        <v>511550</v>
      </c>
      <c r="N42" s="3">
        <f t="shared" si="47"/>
        <v>7.9371605896043446E-2</v>
      </c>
      <c r="O42">
        <v>369100</v>
      </c>
      <c r="P42" s="3">
        <f t="shared" si="48"/>
        <v>0.16331858407079647</v>
      </c>
      <c r="Q42">
        <v>142450</v>
      </c>
      <c r="R42" s="3">
        <f t="shared" si="49"/>
        <v>2.5899999999999999E-2</v>
      </c>
      <c r="S42">
        <v>457</v>
      </c>
      <c r="T42" s="3">
        <f t="shared" si="50"/>
        <v>3.3207382647870952E-2</v>
      </c>
      <c r="U42">
        <v>19</v>
      </c>
      <c r="V42" s="3">
        <f t="shared" si="51"/>
        <v>8.2752613240418115E-3</v>
      </c>
      <c r="W42">
        <v>56</v>
      </c>
      <c r="X42" s="3">
        <f t="shared" si="52"/>
        <v>2.0107719928186715E-2</v>
      </c>
      <c r="Y42">
        <v>304</v>
      </c>
      <c r="Z42" s="3">
        <f t="shared" si="53"/>
        <v>5.2970900853807283E-2</v>
      </c>
      <c r="AA42">
        <v>62</v>
      </c>
      <c r="AB42" s="3">
        <f t="shared" si="54"/>
        <v>2.1900388555280821E-2</v>
      </c>
      <c r="AC42">
        <v>250</v>
      </c>
      <c r="AD42" s="3">
        <f t="shared" si="55"/>
        <v>4.1220115416323165E-2</v>
      </c>
      <c r="AE42">
        <v>0</v>
      </c>
      <c r="AF42" s="3">
        <f t="shared" si="56"/>
        <v>0</v>
      </c>
      <c r="AG42">
        <v>0</v>
      </c>
      <c r="AH42" s="3">
        <f t="shared" si="57"/>
        <v>0</v>
      </c>
      <c r="AI42">
        <v>1345</v>
      </c>
      <c r="AJ42" s="3">
        <f t="shared" si="58"/>
        <v>3.275534557498417E-2</v>
      </c>
      <c r="AK42">
        <v>0</v>
      </c>
      <c r="AL42" s="3">
        <f t="shared" si="59"/>
        <v>0</v>
      </c>
      <c r="AM42">
        <v>155</v>
      </c>
      <c r="AN42" s="3">
        <f t="shared" si="60"/>
        <v>2.0906393309954141E-2</v>
      </c>
      <c r="AO42">
        <v>0</v>
      </c>
      <c r="AP42" s="3">
        <f t="shared" si="61"/>
        <v>0</v>
      </c>
      <c r="AQ42">
        <v>234</v>
      </c>
      <c r="AR42" s="3">
        <f t="shared" si="62"/>
        <v>0.2419855222337125</v>
      </c>
      <c r="AS42">
        <v>0</v>
      </c>
      <c r="AT42" s="3">
        <f t="shared" si="63"/>
        <v>0</v>
      </c>
      <c r="AU42">
        <v>4</v>
      </c>
      <c r="AV42" s="3">
        <f t="shared" si="64"/>
        <v>7.8431372549019607E-2</v>
      </c>
      <c r="AW42">
        <v>0</v>
      </c>
      <c r="AX42" s="3">
        <f t="shared" si="65"/>
        <v>0</v>
      </c>
      <c r="AY42">
        <v>1</v>
      </c>
      <c r="AZ42" s="3">
        <f t="shared" si="66"/>
        <v>1.2345679012345678E-2</v>
      </c>
      <c r="BA42">
        <v>11</v>
      </c>
      <c r="BB42" s="3">
        <f t="shared" si="67"/>
        <v>0.14473684210526316</v>
      </c>
      <c r="BC42">
        <v>55</v>
      </c>
      <c r="BD42" s="3">
        <f t="shared" si="68"/>
        <v>0.12557077625570776</v>
      </c>
      <c r="BE42">
        <v>0</v>
      </c>
      <c r="BF42" s="3">
        <f t="shared" si="69"/>
        <v>0</v>
      </c>
      <c r="BG42">
        <v>989900</v>
      </c>
      <c r="BH42" s="3">
        <f t="shared" si="70"/>
        <v>9.7912957467853612E-2</v>
      </c>
      <c r="BI42">
        <v>306000</v>
      </c>
      <c r="BJ42" s="3">
        <f t="shared" si="71"/>
        <v>1.6105263157894737E-2</v>
      </c>
      <c r="BK42">
        <v>2300000000</v>
      </c>
      <c r="BL42" s="3">
        <f t="shared" si="72"/>
        <v>7.6666666666666662E-3</v>
      </c>
      <c r="BM42">
        <v>24430000</v>
      </c>
      <c r="BN42" s="3">
        <f t="shared" si="73"/>
        <v>3.0313934731356247E-2</v>
      </c>
      <c r="BO42">
        <v>12</v>
      </c>
      <c r="BP42" s="3">
        <f t="shared" si="74"/>
        <v>1.8711991267737408E-3</v>
      </c>
      <c r="BQ42">
        <v>7</v>
      </c>
      <c r="BR42" s="3">
        <f t="shared" si="75"/>
        <v>0.29166666666666669</v>
      </c>
      <c r="BS42">
        <v>141374</v>
      </c>
      <c r="BT42" s="3">
        <f t="shared" si="76"/>
        <v>2.146384862622806E-2</v>
      </c>
      <c r="BU42">
        <v>874</v>
      </c>
      <c r="BV42" s="3">
        <f t="shared" si="77"/>
        <v>3.8880387202391543E-3</v>
      </c>
      <c r="BW42">
        <v>836</v>
      </c>
      <c r="BX42" s="3">
        <f t="shared" si="78"/>
        <v>6.1866350921335009E-2</v>
      </c>
      <c r="BY42">
        <v>12145</v>
      </c>
      <c r="BZ42" s="3">
        <f t="shared" si="79"/>
        <v>2.0661789724396053E-2</v>
      </c>
      <c r="CA42" s="1">
        <v>110900</v>
      </c>
      <c r="CB42">
        <v>46080</v>
      </c>
      <c r="CC42" s="3">
        <f t="shared" si="80"/>
        <v>1.4902975420439845E-2</v>
      </c>
      <c r="CD42">
        <v>690400</v>
      </c>
      <c r="CE42" s="3">
        <f t="shared" si="81"/>
        <v>3.245886224729666E-2</v>
      </c>
      <c r="CF42" s="2">
        <v>1138910</v>
      </c>
      <c r="CG42" s="3">
        <f t="shared" si="82"/>
        <v>0.9333902280714006</v>
      </c>
      <c r="CH42" s="2">
        <v>3208</v>
      </c>
      <c r="CI42" s="3">
        <f t="shared" si="83"/>
        <v>0.98412509897070466</v>
      </c>
      <c r="CJ42" s="2">
        <v>6672</v>
      </c>
      <c r="CK42" s="3">
        <f t="shared" si="84"/>
        <v>0.70289887340250257</v>
      </c>
      <c r="CL42" s="1">
        <v>24725</v>
      </c>
    </row>
    <row r="43" spans="1:90" x14ac:dyDescent="0.3">
      <c r="A43" t="s">
        <v>128</v>
      </c>
      <c r="B43" t="s">
        <v>129</v>
      </c>
      <c r="C43">
        <v>41</v>
      </c>
      <c r="D43" s="9">
        <f t="shared" si="43"/>
        <v>75</v>
      </c>
      <c r="E43" s="9">
        <f t="shared" si="0"/>
        <v>3.3859086219776513</v>
      </c>
      <c r="F43" s="1">
        <v>102374044</v>
      </c>
      <c r="G43">
        <v>40000000</v>
      </c>
      <c r="H43" s="3">
        <f t="shared" si="44"/>
        <v>5.3333333333333337E-2</v>
      </c>
      <c r="I43">
        <v>24800000</v>
      </c>
      <c r="J43" s="3">
        <f t="shared" si="45"/>
        <v>4.0064620355411952E-2</v>
      </c>
      <c r="K43">
        <v>1950000</v>
      </c>
      <c r="L43" s="3">
        <f t="shared" si="46"/>
        <v>8.5152838427947602E-2</v>
      </c>
      <c r="M43">
        <v>162000</v>
      </c>
      <c r="N43" s="3">
        <f t="shared" si="47"/>
        <v>2.5135764158262217E-2</v>
      </c>
      <c r="O43">
        <v>162000</v>
      </c>
      <c r="P43" s="3">
        <f t="shared" si="48"/>
        <v>7.1681415929203546E-2</v>
      </c>
      <c r="Q43">
        <v>0</v>
      </c>
      <c r="R43" s="3">
        <f t="shared" si="49"/>
        <v>0</v>
      </c>
      <c r="S43">
        <v>80</v>
      </c>
      <c r="T43" s="3">
        <f t="shared" si="50"/>
        <v>5.8131085598023546E-3</v>
      </c>
      <c r="U43">
        <v>24</v>
      </c>
      <c r="V43" s="3">
        <f t="shared" si="51"/>
        <v>1.0452961672473868E-2</v>
      </c>
      <c r="W43">
        <v>24</v>
      </c>
      <c r="X43" s="3">
        <f t="shared" si="52"/>
        <v>8.6175942549371626E-3</v>
      </c>
      <c r="Y43">
        <v>34</v>
      </c>
      <c r="Z43" s="3">
        <f t="shared" si="53"/>
        <v>5.924377069175815E-3</v>
      </c>
      <c r="AA43">
        <v>14</v>
      </c>
      <c r="AB43" s="3">
        <f t="shared" si="54"/>
        <v>4.9452490286117983E-3</v>
      </c>
      <c r="AC43">
        <v>33</v>
      </c>
      <c r="AD43" s="3">
        <f t="shared" si="55"/>
        <v>5.4410552349546575E-3</v>
      </c>
      <c r="AE43">
        <v>8</v>
      </c>
      <c r="AF43" s="3">
        <f t="shared" si="56"/>
        <v>8.4477296726504746E-3</v>
      </c>
      <c r="AG43">
        <v>800</v>
      </c>
      <c r="AH43" s="3">
        <f t="shared" si="57"/>
        <v>3.957261574990107E-2</v>
      </c>
      <c r="AI43">
        <v>800</v>
      </c>
      <c r="AJ43" s="3">
        <f t="shared" si="58"/>
        <v>1.9482733427499878E-2</v>
      </c>
      <c r="AK43">
        <v>85</v>
      </c>
      <c r="AL43" s="3">
        <f t="shared" si="59"/>
        <v>1.4233087742799732E-2</v>
      </c>
      <c r="AM43">
        <v>700</v>
      </c>
      <c r="AN43" s="3">
        <f t="shared" si="60"/>
        <v>9.4415969786889667E-2</v>
      </c>
      <c r="AO43">
        <v>183</v>
      </c>
      <c r="AP43" s="3">
        <f t="shared" si="61"/>
        <v>4.8246770366464541E-2</v>
      </c>
      <c r="AQ43">
        <v>0</v>
      </c>
      <c r="AR43" s="3">
        <f t="shared" si="62"/>
        <v>0</v>
      </c>
      <c r="AS43">
        <v>0</v>
      </c>
      <c r="AT43" s="3">
        <f t="shared" si="63"/>
        <v>0</v>
      </c>
      <c r="AU43">
        <v>0</v>
      </c>
      <c r="AV43" s="3">
        <f t="shared" si="64"/>
        <v>0</v>
      </c>
      <c r="AW43">
        <v>0</v>
      </c>
      <c r="AX43" s="3">
        <f t="shared" si="65"/>
        <v>0</v>
      </c>
      <c r="AY43">
        <v>0</v>
      </c>
      <c r="AZ43" s="3">
        <f t="shared" si="66"/>
        <v>0</v>
      </c>
      <c r="BA43">
        <v>0</v>
      </c>
      <c r="BB43" s="3">
        <f t="shared" si="67"/>
        <v>0</v>
      </c>
      <c r="BC43">
        <v>0</v>
      </c>
      <c r="BD43" s="3">
        <f t="shared" si="68"/>
        <v>0</v>
      </c>
      <c r="BE43">
        <v>0</v>
      </c>
      <c r="BF43" s="3">
        <f t="shared" si="69"/>
        <v>0</v>
      </c>
      <c r="BG43">
        <v>100</v>
      </c>
      <c r="BH43" s="3">
        <f t="shared" si="70"/>
        <v>9.8911968348170128E-6</v>
      </c>
      <c r="BI43">
        <v>57000</v>
      </c>
      <c r="BJ43" s="3">
        <f t="shared" si="71"/>
        <v>3.0000000000000001E-3</v>
      </c>
      <c r="BK43">
        <v>430000</v>
      </c>
      <c r="BL43" s="3">
        <f t="shared" si="72"/>
        <v>1.4333333333333333E-6</v>
      </c>
      <c r="BM43">
        <v>50970000</v>
      </c>
      <c r="BN43" s="3">
        <f t="shared" si="73"/>
        <v>6.3246060305248791E-2</v>
      </c>
      <c r="BO43">
        <v>8</v>
      </c>
      <c r="BP43" s="3">
        <f t="shared" si="74"/>
        <v>1.2474660845158273E-3</v>
      </c>
      <c r="BQ43">
        <v>2</v>
      </c>
      <c r="BR43" s="3">
        <f t="shared" si="75"/>
        <v>8.3333333333333329E-2</v>
      </c>
      <c r="BS43">
        <v>36469</v>
      </c>
      <c r="BT43" s="3">
        <f t="shared" si="76"/>
        <v>5.5368391327253325E-3</v>
      </c>
      <c r="BU43">
        <v>681</v>
      </c>
      <c r="BV43" s="3">
        <f t="shared" si="77"/>
        <v>3.0294672408270758E-3</v>
      </c>
      <c r="BW43">
        <v>57</v>
      </c>
      <c r="BX43" s="3">
        <f t="shared" si="78"/>
        <v>4.2181602900910236E-3</v>
      </c>
      <c r="BY43">
        <v>340</v>
      </c>
      <c r="BZ43" s="3">
        <f t="shared" si="79"/>
        <v>5.7842803674719293E-4</v>
      </c>
      <c r="CA43" s="1">
        <v>22490</v>
      </c>
      <c r="CB43">
        <v>2956</v>
      </c>
      <c r="CC43" s="3">
        <f t="shared" si="80"/>
        <v>9.5601552393272961E-4</v>
      </c>
      <c r="CD43">
        <v>174700</v>
      </c>
      <c r="CE43" s="3">
        <f t="shared" si="81"/>
        <v>8.2134461683121759E-3</v>
      </c>
      <c r="CF43" s="2">
        <v>1104300</v>
      </c>
      <c r="CG43" s="3">
        <f t="shared" si="82"/>
        <v>0.9354144127799805</v>
      </c>
      <c r="CH43" s="2">
        <v>0</v>
      </c>
      <c r="CI43" s="3">
        <f t="shared" si="83"/>
        <v>1</v>
      </c>
      <c r="CJ43" s="2">
        <v>5925</v>
      </c>
      <c r="CK43" s="3">
        <f t="shared" si="84"/>
        <v>0.73616244378144902</v>
      </c>
      <c r="CL43" s="1">
        <v>104300</v>
      </c>
    </row>
    <row r="44" spans="1:90" x14ac:dyDescent="0.3">
      <c r="A44" t="s">
        <v>130</v>
      </c>
      <c r="B44" t="s">
        <v>131</v>
      </c>
      <c r="C44">
        <v>42</v>
      </c>
      <c r="D44" s="9">
        <f t="shared" si="43"/>
        <v>51</v>
      </c>
      <c r="E44" s="9">
        <f t="shared" si="0"/>
        <v>3.9588661784607666</v>
      </c>
      <c r="F44" s="1">
        <v>21599736</v>
      </c>
      <c r="G44">
        <v>11050000</v>
      </c>
      <c r="H44" s="3">
        <f t="shared" si="44"/>
        <v>1.4733333333333333E-2</v>
      </c>
      <c r="I44">
        <v>9060000</v>
      </c>
      <c r="J44" s="3">
        <f t="shared" si="45"/>
        <v>1.4636510500807755E-2</v>
      </c>
      <c r="K44">
        <v>230000</v>
      </c>
      <c r="L44" s="3">
        <f t="shared" si="46"/>
        <v>1.0043668122270743E-2</v>
      </c>
      <c r="M44">
        <v>177750</v>
      </c>
      <c r="N44" s="3">
        <f t="shared" si="47"/>
        <v>2.7579519006982158E-2</v>
      </c>
      <c r="O44">
        <v>72750</v>
      </c>
      <c r="P44" s="3">
        <f t="shared" si="48"/>
        <v>3.2190265486725662E-2</v>
      </c>
      <c r="Q44">
        <v>105000</v>
      </c>
      <c r="R44" s="3">
        <f t="shared" si="49"/>
        <v>1.9090909090909092E-2</v>
      </c>
      <c r="S44">
        <v>134</v>
      </c>
      <c r="T44" s="3">
        <f t="shared" si="50"/>
        <v>9.7369568376689426E-3</v>
      </c>
      <c r="U44">
        <v>31</v>
      </c>
      <c r="V44" s="3">
        <f t="shared" si="51"/>
        <v>1.3501742160278746E-2</v>
      </c>
      <c r="W44">
        <v>26</v>
      </c>
      <c r="X44" s="3">
        <f t="shared" si="52"/>
        <v>9.33572710951526E-3</v>
      </c>
      <c r="Y44">
        <v>78</v>
      </c>
      <c r="Z44" s="3">
        <f t="shared" si="53"/>
        <v>1.3591217982226868E-2</v>
      </c>
      <c r="AA44">
        <v>26</v>
      </c>
      <c r="AB44" s="3">
        <f t="shared" si="54"/>
        <v>9.184033910279053E-3</v>
      </c>
      <c r="AC44">
        <v>68</v>
      </c>
      <c r="AD44" s="3">
        <f t="shared" si="55"/>
        <v>1.1211871393239901E-2</v>
      </c>
      <c r="AE44">
        <v>0</v>
      </c>
      <c r="AF44" s="3">
        <f t="shared" si="56"/>
        <v>0</v>
      </c>
      <c r="AG44">
        <v>827</v>
      </c>
      <c r="AH44" s="3">
        <f t="shared" si="57"/>
        <v>4.0908191531460227E-2</v>
      </c>
      <c r="AI44">
        <v>1456</v>
      </c>
      <c r="AJ44" s="3">
        <f t="shared" si="58"/>
        <v>3.5458574838049775E-2</v>
      </c>
      <c r="AK44">
        <v>0</v>
      </c>
      <c r="AL44" s="3">
        <f t="shared" si="59"/>
        <v>0</v>
      </c>
      <c r="AM44">
        <v>413</v>
      </c>
      <c r="AN44" s="3">
        <f t="shared" si="60"/>
        <v>5.5705422174264906E-2</v>
      </c>
      <c r="AO44">
        <v>188</v>
      </c>
      <c r="AP44" s="3">
        <f t="shared" si="61"/>
        <v>4.9564988136040072E-2</v>
      </c>
      <c r="AQ44">
        <v>48</v>
      </c>
      <c r="AR44" s="3">
        <f t="shared" si="62"/>
        <v>4.963805584281282E-2</v>
      </c>
      <c r="AS44">
        <v>0</v>
      </c>
      <c r="AT44" s="3">
        <f t="shared" si="63"/>
        <v>0</v>
      </c>
      <c r="AU44">
        <v>3</v>
      </c>
      <c r="AV44" s="3">
        <f t="shared" si="64"/>
        <v>5.8823529411764705E-2</v>
      </c>
      <c r="AW44">
        <v>0</v>
      </c>
      <c r="AX44" s="3">
        <f t="shared" si="65"/>
        <v>0</v>
      </c>
      <c r="AY44">
        <v>7</v>
      </c>
      <c r="AZ44" s="3">
        <f t="shared" si="66"/>
        <v>8.6419753086419748E-2</v>
      </c>
      <c r="BA44">
        <v>0</v>
      </c>
      <c r="BB44" s="3">
        <f t="shared" si="67"/>
        <v>0</v>
      </c>
      <c r="BC44">
        <v>20</v>
      </c>
      <c r="BD44" s="3">
        <f t="shared" si="68"/>
        <v>4.5662100456621002E-2</v>
      </c>
      <c r="BE44">
        <v>5</v>
      </c>
      <c r="BF44" s="3">
        <f t="shared" si="69"/>
        <v>0.10869565217391304</v>
      </c>
      <c r="BG44">
        <v>83350</v>
      </c>
      <c r="BH44" s="3">
        <f t="shared" si="70"/>
        <v>8.2443125618199796E-3</v>
      </c>
      <c r="BI44">
        <v>215250</v>
      </c>
      <c r="BJ44" s="3">
        <f t="shared" si="71"/>
        <v>1.1328947368421053E-2</v>
      </c>
      <c r="BK44">
        <v>600000000</v>
      </c>
      <c r="BL44" s="3">
        <f t="shared" si="72"/>
        <v>2E-3</v>
      </c>
      <c r="BM44">
        <v>9133000</v>
      </c>
      <c r="BN44" s="3">
        <f t="shared" si="73"/>
        <v>1.133267154733838E-2</v>
      </c>
      <c r="BO44">
        <v>5</v>
      </c>
      <c r="BP44" s="3">
        <f t="shared" si="74"/>
        <v>7.7966630282239198E-4</v>
      </c>
      <c r="BQ44">
        <v>6</v>
      </c>
      <c r="BR44" s="3">
        <f t="shared" si="75"/>
        <v>0.25</v>
      </c>
      <c r="BS44">
        <v>82386</v>
      </c>
      <c r="BT44" s="3">
        <f t="shared" si="76"/>
        <v>1.250810356161971E-2</v>
      </c>
      <c r="BU44">
        <v>10785</v>
      </c>
      <c r="BV44" s="3">
        <f t="shared" si="77"/>
        <v>4.7977686038649062E-2</v>
      </c>
      <c r="BW44">
        <v>45</v>
      </c>
      <c r="BX44" s="3">
        <f t="shared" si="78"/>
        <v>3.3301265448087026E-3</v>
      </c>
      <c r="BY44">
        <v>2190</v>
      </c>
      <c r="BZ44" s="3">
        <f t="shared" si="79"/>
        <v>3.7257570602245663E-3</v>
      </c>
      <c r="CA44" s="1">
        <v>101400</v>
      </c>
      <c r="CB44">
        <v>39860</v>
      </c>
      <c r="CC44" s="3">
        <f t="shared" si="80"/>
        <v>1.2891332470892625E-2</v>
      </c>
      <c r="CD44">
        <v>441000</v>
      </c>
      <c r="CE44" s="3">
        <f t="shared" si="81"/>
        <v>2.0733427362482369E-2</v>
      </c>
      <c r="CF44" s="2">
        <v>238391</v>
      </c>
      <c r="CG44" s="3">
        <f t="shared" si="82"/>
        <v>0.98605757246856141</v>
      </c>
      <c r="CH44" s="2">
        <v>225</v>
      </c>
      <c r="CI44" s="3">
        <f t="shared" si="83"/>
        <v>0.99888657957244653</v>
      </c>
      <c r="CJ44" s="2">
        <v>2844</v>
      </c>
      <c r="CK44" s="3">
        <f t="shared" si="84"/>
        <v>0.87335797301509555</v>
      </c>
      <c r="CL44" s="1">
        <v>1731</v>
      </c>
    </row>
    <row r="45" spans="1:90" x14ac:dyDescent="0.3">
      <c r="A45" t="s">
        <v>132</v>
      </c>
      <c r="B45" t="s">
        <v>133</v>
      </c>
      <c r="C45">
        <v>43</v>
      </c>
      <c r="D45" s="9">
        <f t="shared" si="43"/>
        <v>35</v>
      </c>
      <c r="E45" s="9">
        <f t="shared" si="0"/>
        <v>4.3392683734862318</v>
      </c>
      <c r="F45" s="1">
        <v>186053386</v>
      </c>
      <c r="G45">
        <v>72400000</v>
      </c>
      <c r="H45" s="3">
        <f t="shared" si="44"/>
        <v>9.6533333333333332E-2</v>
      </c>
      <c r="I45">
        <v>40710000</v>
      </c>
      <c r="J45" s="3">
        <f t="shared" si="45"/>
        <v>6.5767366720516959E-2</v>
      </c>
      <c r="K45">
        <v>3456000</v>
      </c>
      <c r="L45" s="3">
        <f t="shared" si="46"/>
        <v>0.1509170305676856</v>
      </c>
      <c r="M45">
        <v>181000</v>
      </c>
      <c r="N45" s="3">
        <f t="shared" si="47"/>
        <v>2.808378588052754E-2</v>
      </c>
      <c r="O45">
        <v>124000</v>
      </c>
      <c r="P45" s="3">
        <f t="shared" si="48"/>
        <v>5.4867256637168141E-2</v>
      </c>
      <c r="Q45">
        <v>57000</v>
      </c>
      <c r="R45" s="3">
        <f t="shared" si="49"/>
        <v>1.0363636363636363E-2</v>
      </c>
      <c r="S45">
        <v>110</v>
      </c>
      <c r="T45" s="3">
        <f t="shared" si="50"/>
        <v>7.9930242697282376E-3</v>
      </c>
      <c r="U45">
        <v>9</v>
      </c>
      <c r="V45" s="3">
        <f t="shared" si="51"/>
        <v>3.9198606271777002E-3</v>
      </c>
      <c r="W45">
        <v>22</v>
      </c>
      <c r="X45" s="3">
        <f t="shared" si="52"/>
        <v>7.8994614003590671E-3</v>
      </c>
      <c r="Y45">
        <v>53</v>
      </c>
      <c r="Z45" s="3">
        <f t="shared" si="53"/>
        <v>9.2350583725387698E-3</v>
      </c>
      <c r="AA45">
        <v>40</v>
      </c>
      <c r="AB45" s="3">
        <f t="shared" si="54"/>
        <v>1.412928293889085E-2</v>
      </c>
      <c r="AC45">
        <v>39</v>
      </c>
      <c r="AD45" s="3">
        <f t="shared" si="55"/>
        <v>6.4303380049464138E-3</v>
      </c>
      <c r="AE45">
        <v>9</v>
      </c>
      <c r="AF45" s="3">
        <f t="shared" si="56"/>
        <v>9.5036958817317843E-3</v>
      </c>
      <c r="AG45">
        <v>148</v>
      </c>
      <c r="AH45" s="3">
        <f t="shared" si="57"/>
        <v>7.3209339137316979E-3</v>
      </c>
      <c r="AI45">
        <v>1420</v>
      </c>
      <c r="AJ45" s="3">
        <f t="shared" si="58"/>
        <v>3.4581851833812287E-2</v>
      </c>
      <c r="AK45">
        <v>25</v>
      </c>
      <c r="AL45" s="3">
        <f t="shared" si="59"/>
        <v>4.1862022772940393E-3</v>
      </c>
      <c r="AM45">
        <v>339</v>
      </c>
      <c r="AN45" s="3">
        <f t="shared" si="60"/>
        <v>4.5724305368222279E-2</v>
      </c>
      <c r="AO45">
        <v>30</v>
      </c>
      <c r="AP45" s="3">
        <f t="shared" si="61"/>
        <v>7.9093066174532028E-3</v>
      </c>
      <c r="AQ45">
        <v>75</v>
      </c>
      <c r="AR45" s="3">
        <f t="shared" si="62"/>
        <v>7.7559462254395042E-2</v>
      </c>
      <c r="AS45">
        <v>0</v>
      </c>
      <c r="AT45" s="3">
        <f t="shared" si="63"/>
        <v>0</v>
      </c>
      <c r="AU45">
        <v>2</v>
      </c>
      <c r="AV45" s="3">
        <f t="shared" si="64"/>
        <v>3.9215686274509803E-2</v>
      </c>
      <c r="AW45">
        <v>0</v>
      </c>
      <c r="AX45" s="3">
        <f t="shared" si="65"/>
        <v>0</v>
      </c>
      <c r="AY45">
        <v>0</v>
      </c>
      <c r="AZ45" s="3">
        <f t="shared" si="66"/>
        <v>0</v>
      </c>
      <c r="BA45">
        <v>0</v>
      </c>
      <c r="BB45" s="3">
        <f t="shared" si="67"/>
        <v>0</v>
      </c>
      <c r="BC45">
        <v>93</v>
      </c>
      <c r="BD45" s="3">
        <f t="shared" si="68"/>
        <v>0.21232876712328766</v>
      </c>
      <c r="BE45">
        <v>0</v>
      </c>
      <c r="BF45" s="3">
        <f t="shared" si="69"/>
        <v>0</v>
      </c>
      <c r="BG45">
        <v>2423000</v>
      </c>
      <c r="BH45" s="3">
        <f t="shared" si="70"/>
        <v>0.23966369930761622</v>
      </c>
      <c r="BI45">
        <v>302000</v>
      </c>
      <c r="BJ45" s="3">
        <f t="shared" si="71"/>
        <v>1.5894736842105264E-2</v>
      </c>
      <c r="BK45">
        <v>37000000000</v>
      </c>
      <c r="BL45" s="3">
        <f t="shared" si="72"/>
        <v>0.12333333333333334</v>
      </c>
      <c r="BM45">
        <v>58800000</v>
      </c>
      <c r="BN45" s="3">
        <f t="shared" si="73"/>
        <v>7.2961905943665473E-2</v>
      </c>
      <c r="BO45">
        <v>89</v>
      </c>
      <c r="BP45" s="3">
        <f t="shared" si="74"/>
        <v>1.3878060190238578E-2</v>
      </c>
      <c r="BQ45">
        <v>3</v>
      </c>
      <c r="BR45" s="3">
        <f t="shared" si="75"/>
        <v>0.125</v>
      </c>
      <c r="BS45">
        <v>193200</v>
      </c>
      <c r="BT45" s="3">
        <f t="shared" si="76"/>
        <v>2.9332236157902168E-2</v>
      </c>
      <c r="BU45">
        <v>3505</v>
      </c>
      <c r="BV45" s="3">
        <f t="shared" si="77"/>
        <v>1.5592191892949928E-2</v>
      </c>
      <c r="BW45">
        <v>54</v>
      </c>
      <c r="BX45" s="3">
        <f t="shared" si="78"/>
        <v>3.9961518537704431E-3</v>
      </c>
      <c r="BY45">
        <v>2330</v>
      </c>
      <c r="BZ45" s="3">
        <f t="shared" si="79"/>
        <v>3.963933310649881E-3</v>
      </c>
      <c r="CA45" s="1">
        <v>39100</v>
      </c>
      <c r="CB45">
        <v>23470</v>
      </c>
      <c r="CC45" s="3">
        <f t="shared" si="80"/>
        <v>7.5905562742561447E-3</v>
      </c>
      <c r="CD45">
        <v>1089000</v>
      </c>
      <c r="CE45" s="3">
        <f t="shared" si="81"/>
        <v>5.1198871650211565E-2</v>
      </c>
      <c r="CF45" s="2">
        <v>923768</v>
      </c>
      <c r="CG45" s="3">
        <f t="shared" si="82"/>
        <v>0.94597292516973386</v>
      </c>
      <c r="CH45" s="2">
        <v>853</v>
      </c>
      <c r="CI45" s="3">
        <f t="shared" si="83"/>
        <v>0.99577889944576403</v>
      </c>
      <c r="CJ45" s="2">
        <v>4477</v>
      </c>
      <c r="CK45" s="3">
        <f t="shared" si="84"/>
        <v>0.80064122545308813</v>
      </c>
      <c r="CL45" s="1">
        <v>8600</v>
      </c>
    </row>
    <row r="46" spans="1:90" x14ac:dyDescent="0.3">
      <c r="A46" t="s">
        <v>134</v>
      </c>
      <c r="B46" t="s">
        <v>135</v>
      </c>
      <c r="C46">
        <v>44</v>
      </c>
      <c r="D46" s="9">
        <f t="shared" si="43"/>
        <v>30</v>
      </c>
      <c r="E46" s="9">
        <f t="shared" si="0"/>
        <v>4.7314292422181792</v>
      </c>
      <c r="F46" s="1">
        <v>17185170</v>
      </c>
      <c r="G46">
        <v>11600000</v>
      </c>
      <c r="H46" s="3">
        <f t="shared" si="44"/>
        <v>1.5466666666666667E-2</v>
      </c>
      <c r="I46">
        <v>10000000</v>
      </c>
      <c r="J46" s="3">
        <f t="shared" si="45"/>
        <v>1.6155088852988692E-2</v>
      </c>
      <c r="K46">
        <v>502000</v>
      </c>
      <c r="L46" s="3">
        <f t="shared" si="46"/>
        <v>2.1921397379912663E-2</v>
      </c>
      <c r="M46">
        <v>304000</v>
      </c>
      <c r="N46" s="3">
        <f t="shared" si="47"/>
        <v>4.7168347556245153E-2</v>
      </c>
      <c r="O46">
        <v>154000</v>
      </c>
      <c r="P46" s="3">
        <f t="shared" si="48"/>
        <v>6.8141592920353988E-2</v>
      </c>
      <c r="Q46">
        <v>150000</v>
      </c>
      <c r="R46" s="3">
        <f t="shared" si="49"/>
        <v>2.7272727272727271E-2</v>
      </c>
      <c r="S46">
        <v>461</v>
      </c>
      <c r="T46" s="3">
        <f t="shared" si="50"/>
        <v>3.3498038075861068E-2</v>
      </c>
      <c r="U46">
        <v>206</v>
      </c>
      <c r="V46" s="3">
        <f t="shared" si="51"/>
        <v>8.9721254355400695E-2</v>
      </c>
      <c r="W46">
        <v>225</v>
      </c>
      <c r="X46" s="3">
        <f t="shared" si="52"/>
        <v>8.0789946140035901E-2</v>
      </c>
      <c r="Y46">
        <v>142</v>
      </c>
      <c r="Z46" s="3">
        <f t="shared" si="53"/>
        <v>2.4742986583028401E-2</v>
      </c>
      <c r="AA46">
        <v>65</v>
      </c>
      <c r="AB46" s="3">
        <f t="shared" si="54"/>
        <v>2.2960084775697633E-2</v>
      </c>
      <c r="AC46">
        <v>167</v>
      </c>
      <c r="AD46" s="3">
        <f t="shared" si="55"/>
        <v>2.7535037098103874E-2</v>
      </c>
      <c r="AE46">
        <v>28</v>
      </c>
      <c r="AF46" s="3">
        <f t="shared" si="56"/>
        <v>2.9567053854276663E-2</v>
      </c>
      <c r="AG46">
        <v>4640</v>
      </c>
      <c r="AH46" s="3">
        <f t="shared" si="57"/>
        <v>0.22952117134942621</v>
      </c>
      <c r="AI46">
        <v>4510</v>
      </c>
      <c r="AJ46" s="3">
        <f t="shared" si="58"/>
        <v>0.10983390969753057</v>
      </c>
      <c r="AK46">
        <v>436</v>
      </c>
      <c r="AL46" s="3">
        <f t="shared" si="59"/>
        <v>7.3007367716008034E-2</v>
      </c>
      <c r="AM46">
        <v>2150</v>
      </c>
      <c r="AN46" s="3">
        <f t="shared" si="60"/>
        <v>0.28999190720258972</v>
      </c>
      <c r="AO46">
        <v>650</v>
      </c>
      <c r="AP46" s="3">
        <f t="shared" si="61"/>
        <v>0.17136831004481939</v>
      </c>
      <c r="AQ46">
        <v>56</v>
      </c>
      <c r="AR46" s="3">
        <f t="shared" si="62"/>
        <v>5.7911065149948295E-2</v>
      </c>
      <c r="AS46">
        <v>0</v>
      </c>
      <c r="AT46" s="3">
        <f t="shared" si="63"/>
        <v>0</v>
      </c>
      <c r="AU46">
        <v>2</v>
      </c>
      <c r="AV46" s="3">
        <f t="shared" si="64"/>
        <v>3.9215686274509803E-2</v>
      </c>
      <c r="AW46">
        <v>0</v>
      </c>
      <c r="AX46" s="3">
        <f t="shared" si="65"/>
        <v>0</v>
      </c>
      <c r="AY46">
        <v>0</v>
      </c>
      <c r="AZ46" s="3">
        <f t="shared" si="66"/>
        <v>0</v>
      </c>
      <c r="BA46">
        <v>0</v>
      </c>
      <c r="BB46" s="3">
        <f t="shared" si="67"/>
        <v>0</v>
      </c>
      <c r="BC46">
        <v>14</v>
      </c>
      <c r="BD46" s="3">
        <f t="shared" si="68"/>
        <v>3.1963470319634701E-2</v>
      </c>
      <c r="BE46">
        <v>7</v>
      </c>
      <c r="BF46" s="3">
        <f t="shared" si="69"/>
        <v>0.15217391304347827</v>
      </c>
      <c r="BG46">
        <v>22660</v>
      </c>
      <c r="BH46" s="3">
        <f t="shared" si="70"/>
        <v>2.2413452027695352E-3</v>
      </c>
      <c r="BI46">
        <v>260000</v>
      </c>
      <c r="BJ46" s="3">
        <f t="shared" si="71"/>
        <v>1.368421052631579E-2</v>
      </c>
      <c r="BK46">
        <v>2500000000</v>
      </c>
      <c r="BL46" s="3">
        <f t="shared" si="72"/>
        <v>8.3333333333333332E-3</v>
      </c>
      <c r="BM46">
        <v>3370000</v>
      </c>
      <c r="BN46" s="3">
        <f t="shared" si="73"/>
        <v>4.1816602556148403E-3</v>
      </c>
      <c r="BO46">
        <v>19</v>
      </c>
      <c r="BP46" s="3">
        <f t="shared" si="74"/>
        <v>2.9627319507250895E-3</v>
      </c>
      <c r="BQ46">
        <v>3</v>
      </c>
      <c r="BR46" s="3">
        <f t="shared" si="75"/>
        <v>0.125</v>
      </c>
      <c r="BS46">
        <v>68157</v>
      </c>
      <c r="BT46" s="3">
        <f t="shared" si="76"/>
        <v>1.0347811696760549E-2</v>
      </c>
      <c r="BU46">
        <v>2052</v>
      </c>
      <c r="BV46" s="3">
        <f t="shared" si="77"/>
        <v>9.1284387344745359E-3</v>
      </c>
      <c r="BW46">
        <v>90</v>
      </c>
      <c r="BX46" s="3">
        <f t="shared" si="78"/>
        <v>6.6602530896174052E-3</v>
      </c>
      <c r="BY46">
        <v>1872</v>
      </c>
      <c r="BZ46" s="3">
        <f t="shared" si="79"/>
        <v>3.1847567199727797E-3</v>
      </c>
      <c r="CA46" s="1">
        <v>5918</v>
      </c>
      <c r="CB46">
        <v>504</v>
      </c>
      <c r="CC46" s="3">
        <f t="shared" si="80"/>
        <v>1.6300129366106079E-4</v>
      </c>
      <c r="CD46">
        <v>55800</v>
      </c>
      <c r="CE46" s="3">
        <f t="shared" si="81"/>
        <v>2.6234132581100141E-3</v>
      </c>
      <c r="CF46" s="2">
        <v>185180</v>
      </c>
      <c r="CG46" s="3">
        <f t="shared" si="82"/>
        <v>0.98916964679760644</v>
      </c>
      <c r="CH46" s="2">
        <v>193</v>
      </c>
      <c r="CI46" s="3">
        <f t="shared" si="83"/>
        <v>0.99904493269992078</v>
      </c>
      <c r="CJ46" s="2">
        <v>2363</v>
      </c>
      <c r="CK46" s="3">
        <f t="shared" si="84"/>
        <v>0.89477668433005297</v>
      </c>
      <c r="CL46" s="1">
        <v>900</v>
      </c>
    </row>
    <row r="47" spans="1:90" x14ac:dyDescent="0.3">
      <c r="A47" t="s">
        <v>136</v>
      </c>
      <c r="B47" t="s">
        <v>137</v>
      </c>
      <c r="C47">
        <v>45</v>
      </c>
      <c r="D47" s="9">
        <f t="shared" si="43"/>
        <v>23</v>
      </c>
      <c r="E47" s="9">
        <f t="shared" si="0"/>
        <v>4.9342105681204496</v>
      </c>
      <c r="F47" s="1">
        <v>30912302</v>
      </c>
      <c r="G47">
        <v>14200000</v>
      </c>
      <c r="H47" s="3">
        <f t="shared" si="44"/>
        <v>1.8933333333333333E-2</v>
      </c>
      <c r="I47">
        <v>11700000</v>
      </c>
      <c r="J47" s="3">
        <f t="shared" si="45"/>
        <v>1.8901453957996767E-2</v>
      </c>
      <c r="K47">
        <v>552000</v>
      </c>
      <c r="L47" s="3">
        <f t="shared" si="46"/>
        <v>2.4104803493449782E-2</v>
      </c>
      <c r="M47">
        <v>123000</v>
      </c>
      <c r="N47" s="3">
        <f t="shared" si="47"/>
        <v>1.908456167571761E-2</v>
      </c>
      <c r="O47">
        <v>115000</v>
      </c>
      <c r="P47" s="3">
        <f t="shared" si="48"/>
        <v>5.0884955752212392E-2</v>
      </c>
      <c r="Q47">
        <v>8000</v>
      </c>
      <c r="R47" s="3">
        <f t="shared" si="49"/>
        <v>1.4545454545454545E-3</v>
      </c>
      <c r="S47">
        <v>280</v>
      </c>
      <c r="T47" s="3">
        <f t="shared" si="50"/>
        <v>2.0345879959308241E-2</v>
      </c>
      <c r="U47">
        <v>39</v>
      </c>
      <c r="V47" s="3">
        <f t="shared" si="51"/>
        <v>1.6986062717770034E-2</v>
      </c>
      <c r="W47">
        <v>33</v>
      </c>
      <c r="X47" s="3">
        <f t="shared" si="52"/>
        <v>1.18491921005386E-2</v>
      </c>
      <c r="Y47">
        <v>143</v>
      </c>
      <c r="Z47" s="3">
        <f t="shared" si="53"/>
        <v>2.4917232967415926E-2</v>
      </c>
      <c r="AA47">
        <v>96</v>
      </c>
      <c r="AB47" s="3">
        <f t="shared" si="54"/>
        <v>3.3910279053338044E-2</v>
      </c>
      <c r="AC47">
        <v>88</v>
      </c>
      <c r="AD47" s="3">
        <f t="shared" si="55"/>
        <v>1.4509480626545754E-2</v>
      </c>
      <c r="AE47">
        <v>10</v>
      </c>
      <c r="AF47" s="3">
        <f t="shared" si="56"/>
        <v>1.0559662090813094E-2</v>
      </c>
      <c r="AG47">
        <v>696</v>
      </c>
      <c r="AH47" s="3">
        <f t="shared" si="57"/>
        <v>3.4428175702413931E-2</v>
      </c>
      <c r="AI47">
        <v>700</v>
      </c>
      <c r="AJ47" s="3">
        <f t="shared" si="58"/>
        <v>1.7047391749062394E-2</v>
      </c>
      <c r="AK47">
        <v>57</v>
      </c>
      <c r="AL47" s="3">
        <f t="shared" si="59"/>
        <v>9.5445411922304088E-3</v>
      </c>
      <c r="AM47">
        <v>104</v>
      </c>
      <c r="AN47" s="3">
        <f t="shared" si="60"/>
        <v>1.4027515511195037E-2</v>
      </c>
      <c r="AO47">
        <v>52</v>
      </c>
      <c r="AP47" s="3">
        <f t="shared" si="61"/>
        <v>1.3709464803585552E-2</v>
      </c>
      <c r="AQ47">
        <v>50</v>
      </c>
      <c r="AR47" s="3">
        <f t="shared" si="62"/>
        <v>5.170630816959669E-2</v>
      </c>
      <c r="AS47">
        <v>0</v>
      </c>
      <c r="AT47" s="3">
        <f t="shared" si="63"/>
        <v>0</v>
      </c>
      <c r="AU47">
        <v>6</v>
      </c>
      <c r="AV47" s="3">
        <f t="shared" si="64"/>
        <v>0.11764705882352941</v>
      </c>
      <c r="AW47">
        <v>0</v>
      </c>
      <c r="AX47" s="3">
        <f t="shared" si="65"/>
        <v>0</v>
      </c>
      <c r="AY47">
        <v>4</v>
      </c>
      <c r="AZ47" s="3">
        <f t="shared" si="66"/>
        <v>4.9382716049382713E-2</v>
      </c>
      <c r="BA47">
        <v>2</v>
      </c>
      <c r="BB47" s="3">
        <f t="shared" si="67"/>
        <v>2.6315789473684209E-2</v>
      </c>
      <c r="BC47">
        <v>13</v>
      </c>
      <c r="BD47" s="3">
        <f t="shared" si="68"/>
        <v>2.9680365296803651E-2</v>
      </c>
      <c r="BE47">
        <v>0</v>
      </c>
      <c r="BF47" s="3">
        <f t="shared" si="69"/>
        <v>0</v>
      </c>
      <c r="BG47">
        <v>2500000</v>
      </c>
      <c r="BH47" s="3">
        <f t="shared" si="70"/>
        <v>0.24727992087042533</v>
      </c>
      <c r="BI47">
        <v>785000</v>
      </c>
      <c r="BJ47" s="3">
        <f t="shared" si="71"/>
        <v>4.1315789473684209E-2</v>
      </c>
      <c r="BK47">
        <v>300000000000</v>
      </c>
      <c r="BL47" s="3">
        <f t="shared" si="72"/>
        <v>1</v>
      </c>
      <c r="BM47">
        <v>14160000</v>
      </c>
      <c r="BN47" s="3">
        <f t="shared" si="73"/>
        <v>1.7570418166025562E-2</v>
      </c>
      <c r="BO47">
        <v>53</v>
      </c>
      <c r="BP47" s="3">
        <f t="shared" si="74"/>
        <v>8.2644628099173556E-3</v>
      </c>
      <c r="BQ47">
        <v>5</v>
      </c>
      <c r="BR47" s="3">
        <f t="shared" si="75"/>
        <v>0.20833333333333334</v>
      </c>
      <c r="BS47">
        <v>96155</v>
      </c>
      <c r="BT47" s="3">
        <f t="shared" si="76"/>
        <v>1.4598556768960057E-2</v>
      </c>
      <c r="BU47">
        <v>806</v>
      </c>
      <c r="BV47" s="3">
        <f t="shared" si="77"/>
        <v>3.5855368518452613E-3</v>
      </c>
      <c r="BW47">
        <v>444</v>
      </c>
      <c r="BX47" s="3">
        <f t="shared" si="78"/>
        <v>3.285724857544587E-2</v>
      </c>
      <c r="BY47">
        <v>4000</v>
      </c>
      <c r="BZ47" s="3">
        <f t="shared" si="79"/>
        <v>6.8050357264375638E-3</v>
      </c>
      <c r="CA47" s="1">
        <v>91990</v>
      </c>
      <c r="CB47">
        <v>10430</v>
      </c>
      <c r="CC47" s="3">
        <f t="shared" si="80"/>
        <v>3.373221216041397E-3</v>
      </c>
      <c r="CD47">
        <v>468600</v>
      </c>
      <c r="CE47" s="3">
        <f t="shared" si="81"/>
        <v>2.2031029619181946E-2</v>
      </c>
      <c r="CF47" s="2">
        <v>912050</v>
      </c>
      <c r="CG47" s="3">
        <f t="shared" si="82"/>
        <v>0.94665825878473353</v>
      </c>
      <c r="CH47" s="2">
        <v>2800</v>
      </c>
      <c r="CI47" s="3">
        <f t="shared" si="83"/>
        <v>0.98614410134600161</v>
      </c>
      <c r="CJ47" s="2">
        <v>5267</v>
      </c>
      <c r="CK47" s="3">
        <f t="shared" si="84"/>
        <v>0.76546288462394796</v>
      </c>
      <c r="CL47" s="1">
        <v>7100</v>
      </c>
    </row>
    <row r="48" spans="1:90" x14ac:dyDescent="0.3">
      <c r="A48" t="s">
        <v>138</v>
      </c>
      <c r="B48" t="s">
        <v>139</v>
      </c>
      <c r="C48">
        <v>46</v>
      </c>
      <c r="D48" s="9">
        <f t="shared" si="43"/>
        <v>53</v>
      </c>
      <c r="E48" s="9">
        <f t="shared" si="0"/>
        <v>3.8558072215426726</v>
      </c>
      <c r="F48" s="1">
        <v>54300704</v>
      </c>
      <c r="G48">
        <v>26000000</v>
      </c>
      <c r="H48" s="3">
        <f t="shared" si="44"/>
        <v>3.4666666666666665E-2</v>
      </c>
      <c r="I48">
        <v>14100000</v>
      </c>
      <c r="J48" s="3">
        <f t="shared" si="45"/>
        <v>2.2778675282714055E-2</v>
      </c>
      <c r="K48">
        <v>965000</v>
      </c>
      <c r="L48" s="3">
        <f t="shared" si="46"/>
        <v>4.2139737991266378E-2</v>
      </c>
      <c r="M48">
        <v>94050</v>
      </c>
      <c r="N48" s="3">
        <f t="shared" si="47"/>
        <v>1.4592707525213343E-2</v>
      </c>
      <c r="O48">
        <v>78050</v>
      </c>
      <c r="P48" s="3">
        <f t="shared" si="48"/>
        <v>3.4535398230088499E-2</v>
      </c>
      <c r="Q48">
        <v>16000</v>
      </c>
      <c r="R48" s="3">
        <f t="shared" si="49"/>
        <v>2.9090909090909089E-3</v>
      </c>
      <c r="S48">
        <v>231</v>
      </c>
      <c r="T48" s="3">
        <f t="shared" si="50"/>
        <v>1.6785350966429299E-2</v>
      </c>
      <c r="U48">
        <v>17</v>
      </c>
      <c r="V48" s="3">
        <f t="shared" si="51"/>
        <v>7.4041811846689894E-3</v>
      </c>
      <c r="W48">
        <v>17</v>
      </c>
      <c r="X48" s="3">
        <f t="shared" si="52"/>
        <v>6.1041292639138238E-3</v>
      </c>
      <c r="Y48">
        <v>109</v>
      </c>
      <c r="Z48" s="3">
        <f t="shared" si="53"/>
        <v>1.899285589824011E-2</v>
      </c>
      <c r="AA48">
        <v>88</v>
      </c>
      <c r="AB48" s="3">
        <f t="shared" si="54"/>
        <v>3.1084422465559872E-2</v>
      </c>
      <c r="AC48">
        <v>95</v>
      </c>
      <c r="AD48" s="3">
        <f t="shared" si="55"/>
        <v>1.5663643858202802E-2</v>
      </c>
      <c r="AE48">
        <v>12</v>
      </c>
      <c r="AF48" s="3">
        <f t="shared" si="56"/>
        <v>1.2671594508975714E-2</v>
      </c>
      <c r="AG48">
        <v>195</v>
      </c>
      <c r="AH48" s="3">
        <f t="shared" si="57"/>
        <v>9.6458250890383863E-3</v>
      </c>
      <c r="AI48">
        <v>2265</v>
      </c>
      <c r="AJ48" s="3">
        <f t="shared" si="58"/>
        <v>5.5160489016609034E-2</v>
      </c>
      <c r="AK48">
        <v>43</v>
      </c>
      <c r="AL48" s="3">
        <f t="shared" si="59"/>
        <v>7.2002679169457465E-3</v>
      </c>
      <c r="AM48">
        <v>97</v>
      </c>
      <c r="AN48" s="3">
        <f t="shared" si="60"/>
        <v>1.308335581332614E-2</v>
      </c>
      <c r="AO48">
        <v>50</v>
      </c>
      <c r="AP48" s="3">
        <f t="shared" si="61"/>
        <v>1.3182177695755339E-2</v>
      </c>
      <c r="AQ48">
        <v>30</v>
      </c>
      <c r="AR48" s="3">
        <f t="shared" si="62"/>
        <v>3.1023784901758014E-2</v>
      </c>
      <c r="AS48">
        <v>0</v>
      </c>
      <c r="AT48" s="3">
        <f t="shared" si="63"/>
        <v>0</v>
      </c>
      <c r="AU48">
        <v>4</v>
      </c>
      <c r="AV48" s="3">
        <f t="shared" si="64"/>
        <v>7.8431372549019607E-2</v>
      </c>
      <c r="AW48">
        <v>0</v>
      </c>
      <c r="AX48" s="3">
        <f t="shared" si="65"/>
        <v>0</v>
      </c>
      <c r="AY48">
        <v>0</v>
      </c>
      <c r="AZ48" s="3">
        <f t="shared" si="66"/>
        <v>0</v>
      </c>
      <c r="BA48">
        <v>3</v>
      </c>
      <c r="BB48" s="3">
        <f t="shared" si="67"/>
        <v>3.9473684210526314E-2</v>
      </c>
      <c r="BC48">
        <v>30</v>
      </c>
      <c r="BD48" s="3">
        <f t="shared" si="68"/>
        <v>6.8493150684931503E-2</v>
      </c>
      <c r="BE48">
        <v>4</v>
      </c>
      <c r="BF48" s="3">
        <f t="shared" si="69"/>
        <v>8.6956521739130432E-2</v>
      </c>
      <c r="BG48">
        <v>3000</v>
      </c>
      <c r="BH48" s="3">
        <f t="shared" si="70"/>
        <v>2.9673590504451037E-4</v>
      </c>
      <c r="BI48">
        <v>605000</v>
      </c>
      <c r="BJ48" s="3">
        <f t="shared" si="71"/>
        <v>3.1842105263157894E-2</v>
      </c>
      <c r="BK48">
        <v>15000000</v>
      </c>
      <c r="BL48" s="3">
        <f t="shared" si="72"/>
        <v>5.0000000000000002E-5</v>
      </c>
      <c r="BM48">
        <v>21700000</v>
      </c>
      <c r="BN48" s="3">
        <f t="shared" si="73"/>
        <v>2.6926417669686065E-2</v>
      </c>
      <c r="BO48">
        <v>3</v>
      </c>
      <c r="BP48" s="3">
        <f t="shared" si="74"/>
        <v>4.6779978169343521E-4</v>
      </c>
      <c r="BQ48">
        <v>5</v>
      </c>
      <c r="BR48" s="3">
        <f t="shared" si="75"/>
        <v>0.20833333333333334</v>
      </c>
      <c r="BS48">
        <v>362099</v>
      </c>
      <c r="BT48" s="3">
        <f t="shared" si="76"/>
        <v>5.4975017497620175E-2</v>
      </c>
      <c r="BU48">
        <v>20192</v>
      </c>
      <c r="BV48" s="3">
        <f t="shared" si="77"/>
        <v>8.9825260685433644E-2</v>
      </c>
      <c r="BW48">
        <v>566</v>
      </c>
      <c r="BX48" s="3">
        <f t="shared" si="78"/>
        <v>4.1885591652482797E-2</v>
      </c>
      <c r="BY48">
        <v>4610</v>
      </c>
      <c r="BZ48" s="3">
        <f t="shared" si="79"/>
        <v>7.8428036747192915E-3</v>
      </c>
      <c r="CA48" s="1">
        <v>129700</v>
      </c>
      <c r="CB48">
        <v>44600</v>
      </c>
      <c r="CC48" s="3">
        <f t="shared" si="80"/>
        <v>1.442432082794308E-2</v>
      </c>
      <c r="CD48">
        <v>736300</v>
      </c>
      <c r="CE48" s="3">
        <f t="shared" si="81"/>
        <v>3.4616831217677481E-2</v>
      </c>
      <c r="CF48" s="2">
        <v>1219090</v>
      </c>
      <c r="CG48" s="3">
        <f t="shared" si="82"/>
        <v>0.92870085708226613</v>
      </c>
      <c r="CH48" s="2">
        <v>2798</v>
      </c>
      <c r="CI48" s="3">
        <f t="shared" si="83"/>
        <v>0.98615399841646867</v>
      </c>
      <c r="CJ48" s="2">
        <v>5244</v>
      </c>
      <c r="CK48" s="3">
        <f t="shared" si="84"/>
        <v>0.76648706416707491</v>
      </c>
      <c r="CL48" s="1" t="s">
        <v>77</v>
      </c>
    </row>
    <row r="49" spans="1:90" x14ac:dyDescent="0.3">
      <c r="A49" t="s">
        <v>140</v>
      </c>
      <c r="B49" t="s">
        <v>141</v>
      </c>
      <c r="C49">
        <v>47</v>
      </c>
      <c r="D49" s="9">
        <f t="shared" si="43"/>
        <v>62</v>
      </c>
      <c r="E49" s="9">
        <f t="shared" si="0"/>
        <v>3.6521173256958677</v>
      </c>
      <c r="F49" s="1">
        <v>17650114</v>
      </c>
      <c r="G49">
        <v>8600000</v>
      </c>
      <c r="H49" s="3">
        <f t="shared" si="44"/>
        <v>1.1466666666666667E-2</v>
      </c>
      <c r="I49">
        <v>7200000</v>
      </c>
      <c r="J49" s="3">
        <f t="shared" si="45"/>
        <v>1.1631663974151859E-2</v>
      </c>
      <c r="K49">
        <v>280000</v>
      </c>
      <c r="L49" s="3">
        <f t="shared" si="46"/>
        <v>1.222707423580786E-2</v>
      </c>
      <c r="M49">
        <v>137850</v>
      </c>
      <c r="N49" s="3">
        <f t="shared" si="47"/>
        <v>2.1388673390224981E-2</v>
      </c>
      <c r="O49">
        <v>65000</v>
      </c>
      <c r="P49" s="3">
        <f t="shared" si="48"/>
        <v>2.8761061946902654E-2</v>
      </c>
      <c r="Q49">
        <v>72850</v>
      </c>
      <c r="R49" s="3">
        <f t="shared" si="49"/>
        <v>1.3245454545454545E-2</v>
      </c>
      <c r="S49">
        <v>243</v>
      </c>
      <c r="T49" s="3">
        <f t="shared" si="50"/>
        <v>1.7657317250399651E-2</v>
      </c>
      <c r="U49">
        <v>44</v>
      </c>
      <c r="V49" s="3">
        <f t="shared" si="51"/>
        <v>1.9163763066202089E-2</v>
      </c>
      <c r="W49">
        <v>44</v>
      </c>
      <c r="X49" s="3">
        <f t="shared" si="52"/>
        <v>1.5798922800718134E-2</v>
      </c>
      <c r="Y49">
        <v>104</v>
      </c>
      <c r="Z49" s="3">
        <f t="shared" si="53"/>
        <v>1.812162397630249E-2</v>
      </c>
      <c r="AA49">
        <v>78</v>
      </c>
      <c r="AB49" s="3">
        <f t="shared" si="54"/>
        <v>2.7552101730837161E-2</v>
      </c>
      <c r="AC49">
        <v>84</v>
      </c>
      <c r="AD49" s="3">
        <f t="shared" si="55"/>
        <v>1.3849958779884583E-2</v>
      </c>
      <c r="AE49">
        <v>0</v>
      </c>
      <c r="AF49" s="3">
        <f t="shared" si="56"/>
        <v>0</v>
      </c>
      <c r="AG49">
        <v>300</v>
      </c>
      <c r="AH49" s="3">
        <f t="shared" si="57"/>
        <v>1.48397309062129E-2</v>
      </c>
      <c r="AI49">
        <v>2346</v>
      </c>
      <c r="AJ49" s="3">
        <f t="shared" si="58"/>
        <v>5.7133115776143391E-2</v>
      </c>
      <c r="AK49">
        <v>48</v>
      </c>
      <c r="AL49" s="3">
        <f t="shared" si="59"/>
        <v>8.0375083724045539E-3</v>
      </c>
      <c r="AM49">
        <v>0</v>
      </c>
      <c r="AN49" s="3">
        <f t="shared" si="60"/>
        <v>0</v>
      </c>
      <c r="AO49">
        <v>8</v>
      </c>
      <c r="AP49" s="3">
        <f t="shared" si="61"/>
        <v>2.1091484313208544E-3</v>
      </c>
      <c r="AQ49">
        <v>69</v>
      </c>
      <c r="AR49" s="3">
        <f t="shared" si="62"/>
        <v>7.1354705274043431E-2</v>
      </c>
      <c r="AS49">
        <v>0</v>
      </c>
      <c r="AT49" s="3">
        <f t="shared" si="63"/>
        <v>0</v>
      </c>
      <c r="AU49">
        <v>8</v>
      </c>
      <c r="AV49" s="3">
        <f t="shared" si="64"/>
        <v>0.15686274509803921</v>
      </c>
      <c r="AW49">
        <v>0</v>
      </c>
      <c r="AX49" s="3">
        <f t="shared" si="65"/>
        <v>0</v>
      </c>
      <c r="AY49">
        <v>0</v>
      </c>
      <c r="AZ49" s="3">
        <f t="shared" si="66"/>
        <v>0</v>
      </c>
      <c r="BA49">
        <v>4</v>
      </c>
      <c r="BB49" s="3">
        <f t="shared" si="67"/>
        <v>5.2631578947368418E-2</v>
      </c>
      <c r="BC49">
        <v>23</v>
      </c>
      <c r="BD49" s="3">
        <f t="shared" si="68"/>
        <v>5.2511415525114152E-2</v>
      </c>
      <c r="BE49">
        <v>0</v>
      </c>
      <c r="BF49" s="3">
        <f t="shared" si="69"/>
        <v>0</v>
      </c>
      <c r="BG49">
        <v>6666</v>
      </c>
      <c r="BH49" s="3">
        <f t="shared" si="70"/>
        <v>6.5934718100890211E-4</v>
      </c>
      <c r="BI49">
        <v>340000</v>
      </c>
      <c r="BJ49" s="3">
        <f t="shared" si="71"/>
        <v>1.7894736842105262E-2</v>
      </c>
      <c r="BK49">
        <v>150000000</v>
      </c>
      <c r="BL49" s="3">
        <f t="shared" si="72"/>
        <v>5.0000000000000001E-4</v>
      </c>
      <c r="BM49">
        <v>8777000</v>
      </c>
      <c r="BN49" s="3">
        <f t="shared" si="73"/>
        <v>1.0890929395706664E-2</v>
      </c>
      <c r="BO49">
        <v>42</v>
      </c>
      <c r="BP49" s="3">
        <f t="shared" si="74"/>
        <v>6.5491969437080928E-3</v>
      </c>
      <c r="BQ49">
        <v>7</v>
      </c>
      <c r="BR49" s="3">
        <f t="shared" si="75"/>
        <v>0.29166666666666669</v>
      </c>
      <c r="BS49">
        <v>80505</v>
      </c>
      <c r="BT49" s="3">
        <f t="shared" si="76"/>
        <v>1.2222524181635165E-2</v>
      </c>
      <c r="BU49">
        <v>7082</v>
      </c>
      <c r="BV49" s="3">
        <f t="shared" si="77"/>
        <v>3.1504679881846326E-2</v>
      </c>
      <c r="BW49">
        <v>481</v>
      </c>
      <c r="BX49" s="3">
        <f t="shared" si="78"/>
        <v>3.559535262339969E-2</v>
      </c>
      <c r="BY49">
        <v>5483</v>
      </c>
      <c r="BZ49" s="3">
        <f t="shared" si="79"/>
        <v>9.3280027220142905E-3</v>
      </c>
      <c r="CA49" s="1">
        <v>160000</v>
      </c>
      <c r="CB49">
        <v>36790</v>
      </c>
      <c r="CC49" s="3">
        <f t="shared" si="80"/>
        <v>1.1898447606727038E-2</v>
      </c>
      <c r="CD49">
        <v>436100</v>
      </c>
      <c r="CE49" s="3">
        <f t="shared" si="81"/>
        <v>2.0503055947343675E-2</v>
      </c>
      <c r="CF49" s="2">
        <v>756102</v>
      </c>
      <c r="CG49" s="3">
        <f t="shared" si="82"/>
        <v>0.95577896253895578</v>
      </c>
      <c r="CH49" s="2">
        <v>6435</v>
      </c>
      <c r="CI49" s="3">
        <f t="shared" si="83"/>
        <v>0.96815617577197144</v>
      </c>
      <c r="CJ49" s="2">
        <v>7801</v>
      </c>
      <c r="CK49" s="3">
        <f t="shared" si="84"/>
        <v>0.65262501669857953</v>
      </c>
      <c r="CL49" s="1">
        <v>12290</v>
      </c>
    </row>
    <row r="50" spans="1:90" x14ac:dyDescent="0.3">
      <c r="A50" t="s">
        <v>142</v>
      </c>
      <c r="B50" t="s">
        <v>143</v>
      </c>
      <c r="C50">
        <v>48</v>
      </c>
      <c r="D50" s="9">
        <f t="shared" si="43"/>
        <v>92</v>
      </c>
      <c r="E50" s="9">
        <f t="shared" si="0"/>
        <v>3.2311803054474275</v>
      </c>
      <c r="F50" s="1">
        <v>29473614</v>
      </c>
      <c r="G50">
        <v>15800000</v>
      </c>
      <c r="H50" s="3">
        <f t="shared" si="44"/>
        <v>2.1066666666666668E-2</v>
      </c>
      <c r="I50">
        <v>13312000</v>
      </c>
      <c r="J50" s="3">
        <f t="shared" si="45"/>
        <v>2.1505654281098546E-2</v>
      </c>
      <c r="K50">
        <v>602000</v>
      </c>
      <c r="L50" s="3">
        <f t="shared" si="46"/>
        <v>2.6288209606986898E-2</v>
      </c>
      <c r="M50">
        <v>76500</v>
      </c>
      <c r="N50" s="3">
        <f t="shared" si="47"/>
        <v>1.1869666408068269E-2</v>
      </c>
      <c r="O50">
        <v>56500</v>
      </c>
      <c r="P50" s="3">
        <f t="shared" si="48"/>
        <v>2.5000000000000001E-2</v>
      </c>
      <c r="Q50">
        <v>20000</v>
      </c>
      <c r="R50" s="3">
        <f t="shared" si="49"/>
        <v>3.6363636363636364E-3</v>
      </c>
      <c r="S50">
        <v>175</v>
      </c>
      <c r="T50" s="3">
        <f t="shared" si="50"/>
        <v>1.2716174974567651E-2</v>
      </c>
      <c r="U50">
        <v>69</v>
      </c>
      <c r="V50" s="3">
        <f t="shared" si="51"/>
        <v>3.0052264808362369E-2</v>
      </c>
      <c r="W50">
        <v>89</v>
      </c>
      <c r="X50" s="3">
        <f t="shared" si="52"/>
        <v>3.1956912028725311E-2</v>
      </c>
      <c r="Y50">
        <v>50</v>
      </c>
      <c r="Z50" s="3">
        <f t="shared" si="53"/>
        <v>8.7123192193761974E-3</v>
      </c>
      <c r="AA50">
        <v>2</v>
      </c>
      <c r="AB50" s="3">
        <f t="shared" si="54"/>
        <v>7.0646414694454254E-4</v>
      </c>
      <c r="AC50">
        <v>70</v>
      </c>
      <c r="AD50" s="3">
        <f t="shared" si="55"/>
        <v>1.1541632316570486E-2</v>
      </c>
      <c r="AE50">
        <v>25</v>
      </c>
      <c r="AF50" s="3">
        <f t="shared" si="56"/>
        <v>2.6399155227032733E-2</v>
      </c>
      <c r="AG50">
        <v>420</v>
      </c>
      <c r="AH50" s="3">
        <f t="shared" si="57"/>
        <v>2.077562326869806E-2</v>
      </c>
      <c r="AI50">
        <v>715</v>
      </c>
      <c r="AJ50" s="3">
        <f t="shared" si="58"/>
        <v>1.7412693000828015E-2</v>
      </c>
      <c r="AK50">
        <v>143</v>
      </c>
      <c r="AL50" s="3">
        <f t="shared" si="59"/>
        <v>2.3945077026121902E-2</v>
      </c>
      <c r="AM50">
        <v>880</v>
      </c>
      <c r="AN50" s="3">
        <f t="shared" si="60"/>
        <v>0.11869436201780416</v>
      </c>
      <c r="AO50">
        <v>109</v>
      </c>
      <c r="AP50" s="3">
        <f t="shared" si="61"/>
        <v>2.8737147376746638E-2</v>
      </c>
      <c r="AQ50">
        <v>0</v>
      </c>
      <c r="AR50" s="3">
        <f t="shared" si="62"/>
        <v>0</v>
      </c>
      <c r="AS50">
        <v>0</v>
      </c>
      <c r="AT50" s="3">
        <f t="shared" si="63"/>
        <v>0</v>
      </c>
      <c r="AU50">
        <v>0</v>
      </c>
      <c r="AV50" s="3">
        <f t="shared" si="64"/>
        <v>0</v>
      </c>
      <c r="AW50">
        <v>0</v>
      </c>
      <c r="AX50" s="3">
        <f t="shared" si="65"/>
        <v>0</v>
      </c>
      <c r="AY50">
        <v>0</v>
      </c>
      <c r="AZ50" s="3">
        <f t="shared" si="66"/>
        <v>0</v>
      </c>
      <c r="BA50">
        <v>0</v>
      </c>
      <c r="BB50" s="3">
        <f t="shared" si="67"/>
        <v>0</v>
      </c>
      <c r="BC50">
        <v>0</v>
      </c>
      <c r="BD50" s="3">
        <f t="shared" si="68"/>
        <v>0</v>
      </c>
      <c r="BE50">
        <v>0</v>
      </c>
      <c r="BF50" s="3">
        <f t="shared" si="69"/>
        <v>0</v>
      </c>
      <c r="BG50">
        <v>65000</v>
      </c>
      <c r="BH50" s="3">
        <f t="shared" si="70"/>
        <v>6.429277942631058E-3</v>
      </c>
      <c r="BI50">
        <v>106000</v>
      </c>
      <c r="BJ50" s="3">
        <f t="shared" si="71"/>
        <v>5.5789473684210522E-3</v>
      </c>
      <c r="BK50">
        <v>600000000</v>
      </c>
      <c r="BL50" s="3">
        <f t="shared" si="72"/>
        <v>2E-3</v>
      </c>
      <c r="BM50">
        <v>17800000</v>
      </c>
      <c r="BN50" s="3">
        <f t="shared" si="73"/>
        <v>2.2087107581585805E-2</v>
      </c>
      <c r="BO50">
        <v>0</v>
      </c>
      <c r="BP50" s="3">
        <f t="shared" si="74"/>
        <v>0</v>
      </c>
      <c r="BQ50">
        <v>1</v>
      </c>
      <c r="BR50" s="3">
        <f t="shared" si="75"/>
        <v>4.1666666666666664E-2</v>
      </c>
      <c r="BS50">
        <v>86496</v>
      </c>
      <c r="BT50" s="3">
        <f t="shared" si="76"/>
        <v>1.3132096784233467E-2</v>
      </c>
      <c r="BU50">
        <v>3645</v>
      </c>
      <c r="BV50" s="3">
        <f t="shared" si="77"/>
        <v>1.6214989857290293E-2</v>
      </c>
      <c r="BW50">
        <v>53</v>
      </c>
      <c r="BX50" s="3">
        <f t="shared" si="78"/>
        <v>3.9221490416635829E-3</v>
      </c>
      <c r="BY50">
        <v>70</v>
      </c>
      <c r="BZ50" s="3">
        <f t="shared" si="79"/>
        <v>1.1908812521265736E-4</v>
      </c>
      <c r="CA50" s="1">
        <v>15750</v>
      </c>
      <c r="CB50">
        <v>14500</v>
      </c>
      <c r="CC50" s="3">
        <f t="shared" si="80"/>
        <v>4.6895213454075033E-3</v>
      </c>
      <c r="CD50">
        <v>202300</v>
      </c>
      <c r="CE50" s="3">
        <f t="shared" si="81"/>
        <v>9.5110484250117543E-3</v>
      </c>
      <c r="CF50" s="2">
        <v>447400</v>
      </c>
      <c r="CG50" s="3">
        <f t="shared" si="82"/>
        <v>0.9738335672170273</v>
      </c>
      <c r="CH50" s="2">
        <v>420</v>
      </c>
      <c r="CI50" s="3">
        <f t="shared" si="83"/>
        <v>0.99792161520190026</v>
      </c>
      <c r="CJ50" s="2">
        <v>6893</v>
      </c>
      <c r="CK50" s="3">
        <f t="shared" si="84"/>
        <v>0.69305784387941394</v>
      </c>
      <c r="CL50" s="1">
        <v>1100</v>
      </c>
    </row>
    <row r="51" spans="1:90" x14ac:dyDescent="0.3">
      <c r="A51" t="s">
        <v>144</v>
      </c>
      <c r="B51" t="s">
        <v>145</v>
      </c>
      <c r="C51">
        <v>49</v>
      </c>
      <c r="D51" s="9">
        <f t="shared" si="43"/>
        <v>69</v>
      </c>
      <c r="E51" s="9">
        <f t="shared" si="0"/>
        <v>3.4756609792175137</v>
      </c>
      <c r="F51" s="1">
        <v>9570376</v>
      </c>
      <c r="G51">
        <v>5000000</v>
      </c>
      <c r="H51" s="3">
        <f t="shared" si="44"/>
        <v>6.6666666666666671E-3</v>
      </c>
      <c r="I51">
        <v>3710000</v>
      </c>
      <c r="J51" s="3">
        <f t="shared" si="45"/>
        <v>5.9935379644588047E-3</v>
      </c>
      <c r="K51">
        <v>100620</v>
      </c>
      <c r="L51" s="3">
        <f t="shared" si="46"/>
        <v>4.393886462882096E-3</v>
      </c>
      <c r="M51">
        <v>401250</v>
      </c>
      <c r="N51" s="3">
        <f t="shared" si="47"/>
        <v>6.2257564003103179E-2</v>
      </c>
      <c r="O51">
        <v>56500</v>
      </c>
      <c r="P51" s="3">
        <f t="shared" si="48"/>
        <v>2.5000000000000001E-2</v>
      </c>
      <c r="Q51">
        <v>344750</v>
      </c>
      <c r="R51" s="3">
        <f t="shared" si="49"/>
        <v>6.2681818181818186E-2</v>
      </c>
      <c r="S51">
        <v>193</v>
      </c>
      <c r="T51" s="3">
        <f t="shared" si="50"/>
        <v>1.402412440052318E-2</v>
      </c>
      <c r="U51">
        <v>43</v>
      </c>
      <c r="V51" s="3">
        <f t="shared" si="51"/>
        <v>1.8728222996515678E-2</v>
      </c>
      <c r="W51">
        <v>105</v>
      </c>
      <c r="X51" s="3">
        <f t="shared" si="52"/>
        <v>3.7701974865350089E-2</v>
      </c>
      <c r="Y51">
        <v>34</v>
      </c>
      <c r="Z51" s="3">
        <f t="shared" si="53"/>
        <v>5.924377069175815E-3</v>
      </c>
      <c r="AA51">
        <v>21</v>
      </c>
      <c r="AB51" s="3">
        <f t="shared" si="54"/>
        <v>7.4178735429176971E-3</v>
      </c>
      <c r="AC51">
        <v>62</v>
      </c>
      <c r="AD51" s="3">
        <f t="shared" si="55"/>
        <v>1.0222588623248145E-2</v>
      </c>
      <c r="AE51">
        <v>21</v>
      </c>
      <c r="AF51" s="3">
        <f t="shared" si="56"/>
        <v>2.2175290390707498E-2</v>
      </c>
      <c r="AG51">
        <v>515</v>
      </c>
      <c r="AH51" s="3">
        <f t="shared" si="57"/>
        <v>2.5474871388998812E-2</v>
      </c>
      <c r="AI51">
        <v>2321</v>
      </c>
      <c r="AJ51" s="3">
        <f t="shared" si="58"/>
        <v>5.6524280356534021E-2</v>
      </c>
      <c r="AK51">
        <v>583</v>
      </c>
      <c r="AL51" s="3">
        <f t="shared" si="59"/>
        <v>9.7622237106496992E-2</v>
      </c>
      <c r="AM51">
        <v>290</v>
      </c>
      <c r="AN51" s="3">
        <f t="shared" si="60"/>
        <v>3.9115187483140003E-2</v>
      </c>
      <c r="AO51">
        <v>123</v>
      </c>
      <c r="AP51" s="3">
        <f t="shared" si="61"/>
        <v>3.2428157131558132E-2</v>
      </c>
      <c r="AQ51">
        <v>0</v>
      </c>
      <c r="AR51" s="3">
        <f t="shared" si="62"/>
        <v>0</v>
      </c>
      <c r="AS51">
        <v>0</v>
      </c>
      <c r="AT51" s="3">
        <f t="shared" si="63"/>
        <v>0</v>
      </c>
      <c r="AU51">
        <v>0</v>
      </c>
      <c r="AV51" s="3">
        <f t="shared" si="64"/>
        <v>0</v>
      </c>
      <c r="AW51">
        <v>0</v>
      </c>
      <c r="AX51" s="3">
        <f t="shared" si="65"/>
        <v>0</v>
      </c>
      <c r="AY51">
        <v>0</v>
      </c>
      <c r="AZ51" s="3">
        <f t="shared" si="66"/>
        <v>0</v>
      </c>
      <c r="BA51">
        <v>0</v>
      </c>
      <c r="BB51" s="3">
        <f t="shared" si="67"/>
        <v>0</v>
      </c>
      <c r="BC51">
        <v>0</v>
      </c>
      <c r="BD51" s="3">
        <f t="shared" si="68"/>
        <v>0</v>
      </c>
      <c r="BE51">
        <v>0</v>
      </c>
      <c r="BF51" s="3">
        <f t="shared" si="69"/>
        <v>0</v>
      </c>
      <c r="BG51">
        <v>30000</v>
      </c>
      <c r="BH51" s="3">
        <f t="shared" si="70"/>
        <v>2.967359050445104E-3</v>
      </c>
      <c r="BI51">
        <v>187000</v>
      </c>
      <c r="BJ51" s="3">
        <f t="shared" si="71"/>
        <v>9.8421052631578951E-3</v>
      </c>
      <c r="BK51">
        <v>200000000</v>
      </c>
      <c r="BL51" s="3">
        <f t="shared" si="72"/>
        <v>6.6666666666666664E-4</v>
      </c>
      <c r="BM51">
        <v>4546000</v>
      </c>
      <c r="BN51" s="3">
        <f t="shared" si="73"/>
        <v>5.6408983744881498E-3</v>
      </c>
      <c r="BO51">
        <v>0</v>
      </c>
      <c r="BP51" s="3">
        <f t="shared" si="74"/>
        <v>0</v>
      </c>
      <c r="BQ51">
        <v>1</v>
      </c>
      <c r="BR51" s="3">
        <f t="shared" si="75"/>
        <v>4.1666666666666664E-2</v>
      </c>
      <c r="BS51">
        <v>86392</v>
      </c>
      <c r="BT51" s="3">
        <f t="shared" si="76"/>
        <v>1.3116307174707475E-2</v>
      </c>
      <c r="BU51">
        <v>5537</v>
      </c>
      <c r="BV51" s="3">
        <f t="shared" si="77"/>
        <v>2.4631659489661555E-2</v>
      </c>
      <c r="BW51">
        <v>65</v>
      </c>
      <c r="BX51" s="3">
        <f t="shared" si="78"/>
        <v>4.8101827869459039E-3</v>
      </c>
      <c r="BY51">
        <v>725</v>
      </c>
      <c r="BZ51" s="3">
        <f t="shared" si="79"/>
        <v>1.2334127254168084E-3</v>
      </c>
      <c r="CA51" s="1">
        <v>34750</v>
      </c>
      <c r="CB51">
        <v>4206</v>
      </c>
      <c r="CC51" s="3">
        <f t="shared" si="80"/>
        <v>1.3602846054333764E-3</v>
      </c>
      <c r="CD51">
        <v>165400</v>
      </c>
      <c r="CE51" s="3">
        <f t="shared" si="81"/>
        <v>7.7762106252938414E-3</v>
      </c>
      <c r="CF51" s="2">
        <v>207600</v>
      </c>
      <c r="CG51" s="3">
        <f t="shared" si="82"/>
        <v>0.98785840088121335</v>
      </c>
      <c r="CH51" s="2">
        <v>0</v>
      </c>
      <c r="CI51" s="3">
        <f t="shared" si="83"/>
        <v>1</v>
      </c>
      <c r="CJ51" s="2">
        <v>3599</v>
      </c>
      <c r="CK51" s="3">
        <f t="shared" si="84"/>
        <v>0.83973816627332232</v>
      </c>
      <c r="CL51" s="1">
        <v>2500</v>
      </c>
    </row>
    <row r="52" spans="1:90" x14ac:dyDescent="0.3">
      <c r="A52" t="s">
        <v>146</v>
      </c>
      <c r="B52" t="s">
        <v>147</v>
      </c>
      <c r="C52">
        <v>50</v>
      </c>
      <c r="D52" s="9">
        <f t="shared" si="43"/>
        <v>39</v>
      </c>
      <c r="E52" s="9">
        <f t="shared" si="0"/>
        <v>4.272057548468263</v>
      </c>
      <c r="F52" s="1">
        <v>102624209</v>
      </c>
      <c r="G52">
        <v>50700000</v>
      </c>
      <c r="H52" s="3">
        <f t="shared" si="44"/>
        <v>6.7599999999999993E-2</v>
      </c>
      <c r="I52">
        <v>41575000</v>
      </c>
      <c r="J52" s="3">
        <f t="shared" si="45"/>
        <v>6.7164781906300486E-2</v>
      </c>
      <c r="K52">
        <v>2100000</v>
      </c>
      <c r="L52" s="3">
        <f t="shared" si="46"/>
        <v>9.1703056768558958E-2</v>
      </c>
      <c r="M52">
        <v>498250</v>
      </c>
      <c r="N52" s="3">
        <f t="shared" si="47"/>
        <v>7.7307990690457726E-2</v>
      </c>
      <c r="O52">
        <v>172500</v>
      </c>
      <c r="P52" s="3">
        <f t="shared" si="48"/>
        <v>7.6327433628318578E-2</v>
      </c>
      <c r="Q52">
        <v>325750</v>
      </c>
      <c r="R52" s="3">
        <f t="shared" si="49"/>
        <v>5.9227272727272726E-2</v>
      </c>
      <c r="S52">
        <v>149</v>
      </c>
      <c r="T52" s="3">
        <f t="shared" si="50"/>
        <v>1.0826914692631884E-2</v>
      </c>
      <c r="U52">
        <v>0</v>
      </c>
      <c r="V52" s="3">
        <f t="shared" si="51"/>
        <v>0</v>
      </c>
      <c r="W52">
        <v>8</v>
      </c>
      <c r="X52" s="3">
        <f t="shared" si="52"/>
        <v>2.872531418312388E-3</v>
      </c>
      <c r="Y52">
        <v>74</v>
      </c>
      <c r="Z52" s="3">
        <f t="shared" si="53"/>
        <v>1.2894232444676773E-2</v>
      </c>
      <c r="AA52">
        <v>22</v>
      </c>
      <c r="AB52" s="3">
        <f t="shared" si="54"/>
        <v>7.7711056163899681E-3</v>
      </c>
      <c r="AC52">
        <v>98</v>
      </c>
      <c r="AD52" s="3">
        <f t="shared" si="55"/>
        <v>1.6158285243198681E-2</v>
      </c>
      <c r="AE52">
        <v>0</v>
      </c>
      <c r="AF52" s="3">
        <f t="shared" si="56"/>
        <v>0</v>
      </c>
      <c r="AG52">
        <v>45</v>
      </c>
      <c r="AH52" s="3">
        <f t="shared" si="57"/>
        <v>2.2259596359319352E-3</v>
      </c>
      <c r="AI52">
        <v>778</v>
      </c>
      <c r="AJ52" s="3">
        <f t="shared" si="58"/>
        <v>1.8946958258243631E-2</v>
      </c>
      <c r="AK52">
        <v>0</v>
      </c>
      <c r="AL52" s="3">
        <f t="shared" si="59"/>
        <v>0</v>
      </c>
      <c r="AM52">
        <v>270</v>
      </c>
      <c r="AN52" s="3">
        <f t="shared" si="60"/>
        <v>3.6417588346371731E-2</v>
      </c>
      <c r="AO52">
        <v>0</v>
      </c>
      <c r="AP52" s="3">
        <f t="shared" si="61"/>
        <v>0</v>
      </c>
      <c r="AQ52">
        <v>119</v>
      </c>
      <c r="AR52" s="3">
        <f t="shared" si="62"/>
        <v>0.12306101344364012</v>
      </c>
      <c r="AS52">
        <v>0</v>
      </c>
      <c r="AT52" s="3">
        <f t="shared" si="63"/>
        <v>0</v>
      </c>
      <c r="AU52">
        <v>4</v>
      </c>
      <c r="AV52" s="3">
        <f t="shared" si="64"/>
        <v>7.8431372549019607E-2</v>
      </c>
      <c r="AW52">
        <v>0</v>
      </c>
      <c r="AX52" s="3">
        <f t="shared" si="65"/>
        <v>0</v>
      </c>
      <c r="AY52">
        <v>10</v>
      </c>
      <c r="AZ52" s="3">
        <f t="shared" si="66"/>
        <v>0.12345679012345678</v>
      </c>
      <c r="BA52">
        <v>0</v>
      </c>
      <c r="BB52" s="3">
        <f t="shared" si="67"/>
        <v>0</v>
      </c>
      <c r="BC52">
        <v>36</v>
      </c>
      <c r="BD52" s="3">
        <f t="shared" si="68"/>
        <v>8.2191780821917804E-2</v>
      </c>
      <c r="BE52">
        <v>0</v>
      </c>
      <c r="BF52" s="3">
        <f t="shared" si="69"/>
        <v>0</v>
      </c>
      <c r="BG52">
        <v>21000</v>
      </c>
      <c r="BH52" s="3">
        <f t="shared" si="70"/>
        <v>2.0771513353115725E-3</v>
      </c>
      <c r="BI52">
        <v>300000</v>
      </c>
      <c r="BJ52" s="3">
        <f t="shared" si="71"/>
        <v>1.5789473684210527E-2</v>
      </c>
      <c r="BK52">
        <v>100000000</v>
      </c>
      <c r="BL52" s="3">
        <f t="shared" si="72"/>
        <v>3.3333333333333332E-4</v>
      </c>
      <c r="BM52">
        <v>42800000</v>
      </c>
      <c r="BN52" s="3">
        <f t="shared" si="73"/>
        <v>5.3108326095049015E-2</v>
      </c>
      <c r="BO52">
        <v>446</v>
      </c>
      <c r="BP52" s="3">
        <f t="shared" si="74"/>
        <v>6.9546234211757374E-2</v>
      </c>
      <c r="BQ52">
        <v>6</v>
      </c>
      <c r="BR52" s="3">
        <f t="shared" si="75"/>
        <v>0.25</v>
      </c>
      <c r="BS52">
        <v>213151</v>
      </c>
      <c r="BT52" s="3">
        <f t="shared" si="76"/>
        <v>3.2361260193027978E-2</v>
      </c>
      <c r="BU52">
        <v>995</v>
      </c>
      <c r="BV52" s="3">
        <f t="shared" si="77"/>
        <v>4.4263141037047581E-3</v>
      </c>
      <c r="BW52">
        <v>247</v>
      </c>
      <c r="BX52" s="3">
        <f t="shared" si="78"/>
        <v>1.8278694590394436E-2</v>
      </c>
      <c r="BY52">
        <v>3000</v>
      </c>
      <c r="BZ52" s="3">
        <f t="shared" si="79"/>
        <v>5.1037767948281729E-3</v>
      </c>
      <c r="CA52" s="1">
        <v>77460</v>
      </c>
      <c r="CB52">
        <v>79990</v>
      </c>
      <c r="CC52" s="3">
        <f t="shared" si="80"/>
        <v>2.5869987063389391E-2</v>
      </c>
      <c r="CD52">
        <v>801900</v>
      </c>
      <c r="CE52" s="3">
        <f t="shared" si="81"/>
        <v>3.770098730606488E-2</v>
      </c>
      <c r="CF52" s="2">
        <v>300000</v>
      </c>
      <c r="CG52" s="3">
        <f t="shared" si="82"/>
        <v>0.98245433653354541</v>
      </c>
      <c r="CH52" s="2">
        <v>36289</v>
      </c>
      <c r="CI52" s="3">
        <f t="shared" si="83"/>
        <v>0.82042260490894692</v>
      </c>
      <c r="CJ52" s="2">
        <v>0</v>
      </c>
      <c r="CK52" s="3">
        <f t="shared" si="84"/>
        <v>1</v>
      </c>
      <c r="CL52" s="1">
        <v>3219</v>
      </c>
    </row>
    <row r="53" spans="1:90" x14ac:dyDescent="0.3">
      <c r="A53" t="s">
        <v>148</v>
      </c>
      <c r="B53" t="s">
        <v>149</v>
      </c>
      <c r="C53">
        <v>51</v>
      </c>
      <c r="D53" s="9">
        <f t="shared" si="43"/>
        <v>61</v>
      </c>
      <c r="E53" s="9">
        <f t="shared" si="0"/>
        <v>3.6812793245299291</v>
      </c>
      <c r="F53" s="1">
        <v>20172332</v>
      </c>
      <c r="G53">
        <v>6030000</v>
      </c>
      <c r="H53" s="3">
        <f t="shared" si="44"/>
        <v>8.0400000000000003E-3</v>
      </c>
      <c r="I53">
        <v>3040000</v>
      </c>
      <c r="J53" s="3">
        <f t="shared" si="45"/>
        <v>4.911147011308562E-3</v>
      </c>
      <c r="K53">
        <v>310000</v>
      </c>
      <c r="L53" s="3">
        <f t="shared" si="46"/>
        <v>1.3537117903930132E-2</v>
      </c>
      <c r="M53">
        <v>175500</v>
      </c>
      <c r="N53" s="3">
        <f t="shared" si="47"/>
        <v>2.7230411171450739E-2</v>
      </c>
      <c r="O53">
        <v>107000</v>
      </c>
      <c r="P53" s="3">
        <f t="shared" si="48"/>
        <v>4.7345132743362835E-2</v>
      </c>
      <c r="Q53">
        <v>68500</v>
      </c>
      <c r="R53" s="3">
        <f t="shared" si="49"/>
        <v>1.2454545454545454E-2</v>
      </c>
      <c r="S53">
        <v>285</v>
      </c>
      <c r="T53" s="3">
        <f t="shared" si="50"/>
        <v>2.0709199244295887E-2</v>
      </c>
      <c r="U53">
        <v>60</v>
      </c>
      <c r="V53" s="3">
        <f t="shared" si="51"/>
        <v>2.6132404181184669E-2</v>
      </c>
      <c r="W53">
        <v>78</v>
      </c>
      <c r="X53" s="3">
        <f t="shared" si="52"/>
        <v>2.800718132854578E-2</v>
      </c>
      <c r="Y53">
        <v>128</v>
      </c>
      <c r="Z53" s="3">
        <f t="shared" si="53"/>
        <v>2.2303537201603066E-2</v>
      </c>
      <c r="AA53">
        <v>48</v>
      </c>
      <c r="AB53" s="3">
        <f t="shared" si="54"/>
        <v>1.6955139526669022E-2</v>
      </c>
      <c r="AC53">
        <v>118</v>
      </c>
      <c r="AD53" s="3">
        <f t="shared" si="55"/>
        <v>1.9455894476504535E-2</v>
      </c>
      <c r="AE53">
        <v>15</v>
      </c>
      <c r="AF53" s="3">
        <f t="shared" si="56"/>
        <v>1.5839493136219639E-2</v>
      </c>
      <c r="AG53">
        <v>244</v>
      </c>
      <c r="AH53" s="3">
        <f t="shared" si="57"/>
        <v>1.2069647803719826E-2</v>
      </c>
      <c r="AI53">
        <v>538</v>
      </c>
      <c r="AJ53" s="3">
        <f t="shared" si="58"/>
        <v>1.3102138229993667E-2</v>
      </c>
      <c r="AK53">
        <v>28</v>
      </c>
      <c r="AL53" s="3">
        <f t="shared" si="59"/>
        <v>4.6885465505693237E-3</v>
      </c>
      <c r="AM53">
        <v>332</v>
      </c>
      <c r="AN53" s="3">
        <f t="shared" si="60"/>
        <v>4.4780145670353384E-2</v>
      </c>
      <c r="AO53">
        <v>115</v>
      </c>
      <c r="AP53" s="3">
        <f t="shared" si="61"/>
        <v>3.0319008700237279E-2</v>
      </c>
      <c r="AQ53">
        <v>57</v>
      </c>
      <c r="AR53" s="3">
        <f t="shared" si="62"/>
        <v>5.894519131334023E-2</v>
      </c>
      <c r="AS53">
        <v>0</v>
      </c>
      <c r="AT53" s="3">
        <f t="shared" si="63"/>
        <v>0</v>
      </c>
      <c r="AU53">
        <v>0</v>
      </c>
      <c r="AV53" s="3">
        <f t="shared" si="64"/>
        <v>0</v>
      </c>
      <c r="AW53">
        <v>0</v>
      </c>
      <c r="AX53" s="3">
        <f t="shared" si="65"/>
        <v>0</v>
      </c>
      <c r="AY53">
        <v>0</v>
      </c>
      <c r="AZ53" s="3">
        <f t="shared" si="66"/>
        <v>0</v>
      </c>
      <c r="BA53">
        <v>0</v>
      </c>
      <c r="BB53" s="3">
        <f t="shared" si="67"/>
        <v>0</v>
      </c>
      <c r="BC53">
        <v>38</v>
      </c>
      <c r="BD53" s="3">
        <f t="shared" si="68"/>
        <v>8.6757990867579904E-2</v>
      </c>
      <c r="BE53">
        <v>2</v>
      </c>
      <c r="BF53" s="3">
        <f t="shared" si="69"/>
        <v>4.3478260869565216E-2</v>
      </c>
      <c r="BG53">
        <v>1742000</v>
      </c>
      <c r="BH53" s="3">
        <f t="shared" si="70"/>
        <v>0.17230464886251237</v>
      </c>
      <c r="BI53">
        <v>133000</v>
      </c>
      <c r="BJ53" s="3">
        <f t="shared" si="71"/>
        <v>7.0000000000000001E-3</v>
      </c>
      <c r="BK53">
        <v>8400000000</v>
      </c>
      <c r="BL53" s="3">
        <f t="shared" si="72"/>
        <v>2.8000000000000001E-2</v>
      </c>
      <c r="BM53">
        <v>10850000</v>
      </c>
      <c r="BN53" s="3">
        <f t="shared" si="73"/>
        <v>1.3463208834843032E-2</v>
      </c>
      <c r="BO53">
        <v>7</v>
      </c>
      <c r="BP53" s="3">
        <f t="shared" si="74"/>
        <v>1.0915328239513489E-3</v>
      </c>
      <c r="BQ53">
        <v>4</v>
      </c>
      <c r="BR53" s="3">
        <f t="shared" si="75"/>
        <v>0.16666666666666666</v>
      </c>
      <c r="BS53">
        <v>51429</v>
      </c>
      <c r="BT53" s="3">
        <f t="shared" si="76"/>
        <v>7.8081137337720008E-3</v>
      </c>
      <c r="BU53">
        <v>2764</v>
      </c>
      <c r="BV53" s="3">
        <f t="shared" si="77"/>
        <v>1.2295811238834123E-2</v>
      </c>
      <c r="BW53">
        <v>176</v>
      </c>
      <c r="BX53" s="3">
        <f t="shared" si="78"/>
        <v>1.3024494930807371E-2</v>
      </c>
      <c r="BY53">
        <v>4150</v>
      </c>
      <c r="BZ53" s="3">
        <f t="shared" si="79"/>
        <v>7.0602245661789721E-3</v>
      </c>
      <c r="CA53" s="1">
        <v>37700</v>
      </c>
      <c r="CB53">
        <v>20430</v>
      </c>
      <c r="CC53" s="3">
        <f t="shared" si="80"/>
        <v>6.6073738680465718E-3</v>
      </c>
      <c r="CD53">
        <v>187300</v>
      </c>
      <c r="CE53" s="3">
        <f t="shared" si="81"/>
        <v>8.8058298072402445E-3</v>
      </c>
      <c r="CF53" s="2">
        <v>1246700</v>
      </c>
      <c r="CG53" s="3">
        <f t="shared" si="82"/>
        <v>0.92708607118790343</v>
      </c>
      <c r="CH53" s="2">
        <v>1600</v>
      </c>
      <c r="CI53" s="3">
        <f t="shared" si="83"/>
        <v>0.99208234362628667</v>
      </c>
      <c r="CJ53" s="2">
        <v>5369</v>
      </c>
      <c r="CK53" s="3">
        <f t="shared" si="84"/>
        <v>0.76092087099790717</v>
      </c>
      <c r="CL53" s="1">
        <v>1300</v>
      </c>
    </row>
    <row r="54" spans="1:90" x14ac:dyDescent="0.3">
      <c r="A54" t="s">
        <v>150</v>
      </c>
      <c r="B54" t="s">
        <v>151</v>
      </c>
      <c r="C54">
        <v>52</v>
      </c>
      <c r="D54" s="9">
        <f t="shared" si="43"/>
        <v>50</v>
      </c>
      <c r="E54" s="9">
        <f t="shared" si="0"/>
        <v>3.9730733050098404</v>
      </c>
      <c r="F54" s="1">
        <v>5593785</v>
      </c>
      <c r="G54">
        <v>2500000</v>
      </c>
      <c r="H54" s="3">
        <f t="shared" si="44"/>
        <v>3.3333333333333335E-3</v>
      </c>
      <c r="I54">
        <v>2020000</v>
      </c>
      <c r="J54" s="3">
        <f t="shared" si="45"/>
        <v>3.2633279483037158E-3</v>
      </c>
      <c r="K54">
        <v>75000</v>
      </c>
      <c r="L54" s="3">
        <f t="shared" si="46"/>
        <v>3.2751091703056767E-3</v>
      </c>
      <c r="M54">
        <v>75150</v>
      </c>
      <c r="N54" s="3">
        <f t="shared" si="47"/>
        <v>1.1660201706749418E-2</v>
      </c>
      <c r="O54">
        <v>20800</v>
      </c>
      <c r="P54" s="3">
        <f t="shared" si="48"/>
        <v>9.2035398230088487E-3</v>
      </c>
      <c r="Q54">
        <v>54350</v>
      </c>
      <c r="R54" s="3">
        <f t="shared" si="49"/>
        <v>9.8818181818181826E-3</v>
      </c>
      <c r="S54">
        <v>84</v>
      </c>
      <c r="T54" s="3">
        <f t="shared" si="50"/>
        <v>6.1037639877924718E-3</v>
      </c>
      <c r="U54">
        <v>33</v>
      </c>
      <c r="V54" s="3">
        <f t="shared" si="51"/>
        <v>1.4372822299651568E-2</v>
      </c>
      <c r="W54">
        <v>35</v>
      </c>
      <c r="X54" s="3">
        <f t="shared" si="52"/>
        <v>1.2567324955116697E-2</v>
      </c>
      <c r="Y54">
        <v>36</v>
      </c>
      <c r="Z54" s="3">
        <f t="shared" si="53"/>
        <v>6.2728698379508627E-3</v>
      </c>
      <c r="AA54">
        <v>10</v>
      </c>
      <c r="AB54" s="3">
        <f t="shared" si="54"/>
        <v>3.5323207347227126E-3</v>
      </c>
      <c r="AC54">
        <v>34</v>
      </c>
      <c r="AD54" s="3">
        <f t="shared" si="55"/>
        <v>5.6059356966199504E-3</v>
      </c>
      <c r="AE54">
        <v>0</v>
      </c>
      <c r="AF54" s="3">
        <f t="shared" si="56"/>
        <v>0</v>
      </c>
      <c r="AG54">
        <v>57</v>
      </c>
      <c r="AH54" s="3">
        <f t="shared" si="57"/>
        <v>2.819548872180451E-3</v>
      </c>
      <c r="AI54">
        <v>673</v>
      </c>
      <c r="AJ54" s="3">
        <f t="shared" si="58"/>
        <v>1.6389849495884273E-2</v>
      </c>
      <c r="AK54">
        <v>12</v>
      </c>
      <c r="AL54" s="3">
        <f t="shared" si="59"/>
        <v>2.0093770931011385E-3</v>
      </c>
      <c r="AM54">
        <v>0</v>
      </c>
      <c r="AN54" s="3">
        <f t="shared" si="60"/>
        <v>0</v>
      </c>
      <c r="AO54">
        <v>0</v>
      </c>
      <c r="AP54" s="3">
        <f t="shared" si="61"/>
        <v>0</v>
      </c>
      <c r="AQ54">
        <v>90</v>
      </c>
      <c r="AR54" s="3">
        <f t="shared" si="62"/>
        <v>9.3071354705274043E-2</v>
      </c>
      <c r="AS54">
        <v>0</v>
      </c>
      <c r="AT54" s="3">
        <f t="shared" si="63"/>
        <v>0</v>
      </c>
      <c r="AU54">
        <v>9</v>
      </c>
      <c r="AV54" s="3">
        <f t="shared" si="64"/>
        <v>0.17647058823529413</v>
      </c>
      <c r="AW54">
        <v>0</v>
      </c>
      <c r="AX54" s="3">
        <f t="shared" si="65"/>
        <v>0</v>
      </c>
      <c r="AY54">
        <v>0</v>
      </c>
      <c r="AZ54" s="3">
        <f t="shared" si="66"/>
        <v>0</v>
      </c>
      <c r="BA54">
        <v>0</v>
      </c>
      <c r="BB54" s="3">
        <f t="shared" si="67"/>
        <v>0</v>
      </c>
      <c r="BC54">
        <v>8</v>
      </c>
      <c r="BD54" s="3">
        <f t="shared" si="68"/>
        <v>1.8264840182648401E-2</v>
      </c>
      <c r="BE54">
        <v>6</v>
      </c>
      <c r="BF54" s="3">
        <f t="shared" si="69"/>
        <v>0.13043478260869565</v>
      </c>
      <c r="BG54">
        <v>165200</v>
      </c>
      <c r="BH54" s="3">
        <f t="shared" si="70"/>
        <v>1.6340257171117704E-2</v>
      </c>
      <c r="BI54">
        <v>155000</v>
      </c>
      <c r="BJ54" s="3">
        <f t="shared" si="71"/>
        <v>8.1578947368421053E-3</v>
      </c>
      <c r="BK54">
        <v>611000000</v>
      </c>
      <c r="BL54" s="3">
        <f t="shared" si="72"/>
        <v>2.0366666666666667E-3</v>
      </c>
      <c r="BM54">
        <v>2825000</v>
      </c>
      <c r="BN54" s="3">
        <f t="shared" si="73"/>
        <v>3.5053976920213425E-3</v>
      </c>
      <c r="BO54">
        <v>367</v>
      </c>
      <c r="BP54" s="3">
        <f t="shared" si="74"/>
        <v>5.7227506627163575E-2</v>
      </c>
      <c r="BQ54">
        <v>8</v>
      </c>
      <c r="BR54" s="3">
        <f t="shared" si="75"/>
        <v>0.33333333333333331</v>
      </c>
      <c r="BS54">
        <v>73197</v>
      </c>
      <c r="BT54" s="3">
        <f t="shared" si="76"/>
        <v>1.1113000466097128E-2</v>
      </c>
      <c r="BU54">
        <v>2667</v>
      </c>
      <c r="BV54" s="3">
        <f t="shared" si="77"/>
        <v>1.186430122068401E-2</v>
      </c>
      <c r="BW54">
        <v>80</v>
      </c>
      <c r="BX54" s="3">
        <f t="shared" si="78"/>
        <v>5.9202249685488045E-3</v>
      </c>
      <c r="BY54">
        <v>4440</v>
      </c>
      <c r="BZ54" s="3">
        <f t="shared" si="79"/>
        <v>7.553589656345696E-3</v>
      </c>
      <c r="CA54" s="1">
        <v>484800</v>
      </c>
      <c r="CB54">
        <v>61800</v>
      </c>
      <c r="CC54" s="3">
        <f t="shared" si="80"/>
        <v>1.998706338939198E-2</v>
      </c>
      <c r="CD54">
        <v>264800</v>
      </c>
      <c r="CE54" s="3">
        <f t="shared" si="81"/>
        <v>1.2449459332393041E-2</v>
      </c>
      <c r="CF54" s="2">
        <v>43094</v>
      </c>
      <c r="CG54" s="3">
        <f t="shared" si="82"/>
        <v>0.99747962392858869</v>
      </c>
      <c r="CH54" s="2">
        <v>7314</v>
      </c>
      <c r="CI54" s="3">
        <f t="shared" si="83"/>
        <v>0.96380641330166272</v>
      </c>
      <c r="CJ54" s="2">
        <v>140</v>
      </c>
      <c r="CK54" s="3">
        <f t="shared" si="84"/>
        <v>0.9937658636505321</v>
      </c>
      <c r="CL54" s="1">
        <v>400</v>
      </c>
    </row>
    <row r="55" spans="1:90" x14ac:dyDescent="0.3">
      <c r="A55" t="s">
        <v>152</v>
      </c>
      <c r="B55" t="s">
        <v>153</v>
      </c>
      <c r="C55">
        <v>53</v>
      </c>
      <c r="D55" s="9">
        <f t="shared" si="43"/>
        <v>82</v>
      </c>
      <c r="E55" s="9">
        <f t="shared" si="0"/>
        <v>3.3192602564825533</v>
      </c>
      <c r="F55" s="1">
        <v>8711770</v>
      </c>
      <c r="G55">
        <v>4000000</v>
      </c>
      <c r="H55" s="3">
        <f t="shared" si="44"/>
        <v>5.3333333333333332E-3</v>
      </c>
      <c r="I55">
        <v>3600000</v>
      </c>
      <c r="J55" s="3">
        <f t="shared" si="45"/>
        <v>5.8158319870759293E-3</v>
      </c>
      <c r="K55">
        <v>95000</v>
      </c>
      <c r="L55" s="3">
        <f t="shared" si="46"/>
        <v>4.148471615720524E-3</v>
      </c>
      <c r="M55">
        <v>170000</v>
      </c>
      <c r="N55" s="3">
        <f t="shared" si="47"/>
        <v>2.6377036462373934E-2</v>
      </c>
      <c r="O55">
        <v>25000</v>
      </c>
      <c r="P55" s="3">
        <f t="shared" si="48"/>
        <v>1.1061946902654867E-2</v>
      </c>
      <c r="Q55">
        <v>145000</v>
      </c>
      <c r="R55" s="3">
        <f t="shared" si="49"/>
        <v>2.6363636363636363E-2</v>
      </c>
      <c r="S55">
        <v>123</v>
      </c>
      <c r="T55" s="3">
        <f t="shared" si="50"/>
        <v>8.9376544106961192E-3</v>
      </c>
      <c r="U55">
        <v>15</v>
      </c>
      <c r="V55" s="3">
        <f t="shared" si="51"/>
        <v>6.5331010452961674E-3</v>
      </c>
      <c r="W55">
        <v>15</v>
      </c>
      <c r="X55" s="3">
        <f t="shared" si="52"/>
        <v>5.3859964093357273E-3</v>
      </c>
      <c r="Y55">
        <v>110</v>
      </c>
      <c r="Z55" s="3">
        <f t="shared" si="53"/>
        <v>1.9167102282627635E-2</v>
      </c>
      <c r="AA55">
        <v>31</v>
      </c>
      <c r="AB55" s="3">
        <f t="shared" si="54"/>
        <v>1.0950194277640411E-2</v>
      </c>
      <c r="AC55">
        <v>67</v>
      </c>
      <c r="AD55" s="3">
        <f t="shared" si="55"/>
        <v>1.1046990931574609E-2</v>
      </c>
      <c r="AE55">
        <v>0</v>
      </c>
      <c r="AF55" s="3">
        <f t="shared" si="56"/>
        <v>0</v>
      </c>
      <c r="AG55">
        <v>56</v>
      </c>
      <c r="AH55" s="3">
        <f t="shared" si="57"/>
        <v>2.7700831024930748E-3</v>
      </c>
      <c r="AI55">
        <v>393</v>
      </c>
      <c r="AJ55" s="3">
        <f t="shared" si="58"/>
        <v>9.5708927962593147E-3</v>
      </c>
      <c r="AK55">
        <v>83</v>
      </c>
      <c r="AL55" s="3">
        <f t="shared" si="59"/>
        <v>1.3898191560616209E-2</v>
      </c>
      <c r="AM55">
        <v>0</v>
      </c>
      <c r="AN55" s="3">
        <f t="shared" si="60"/>
        <v>0</v>
      </c>
      <c r="AO55">
        <v>0</v>
      </c>
      <c r="AP55" s="3">
        <f t="shared" si="61"/>
        <v>0</v>
      </c>
      <c r="AQ55">
        <v>0</v>
      </c>
      <c r="AR55" s="3">
        <f t="shared" si="62"/>
        <v>0</v>
      </c>
      <c r="AS55">
        <v>0</v>
      </c>
      <c r="AT55" s="3">
        <f t="shared" si="63"/>
        <v>0</v>
      </c>
      <c r="AU55">
        <v>0</v>
      </c>
      <c r="AV55" s="3">
        <f t="shared" si="64"/>
        <v>0</v>
      </c>
      <c r="AW55">
        <v>0</v>
      </c>
      <c r="AX55" s="3">
        <f t="shared" si="65"/>
        <v>0</v>
      </c>
      <c r="AY55">
        <v>0</v>
      </c>
      <c r="AZ55" s="3">
        <f t="shared" si="66"/>
        <v>0</v>
      </c>
      <c r="BA55">
        <v>0</v>
      </c>
      <c r="BB55" s="3">
        <f t="shared" si="67"/>
        <v>0</v>
      </c>
      <c r="BC55">
        <v>0</v>
      </c>
      <c r="BD55" s="3">
        <f t="shared" si="68"/>
        <v>0</v>
      </c>
      <c r="BE55">
        <v>0</v>
      </c>
      <c r="BF55" s="3">
        <f t="shared" si="69"/>
        <v>0</v>
      </c>
      <c r="BG55">
        <v>17250</v>
      </c>
      <c r="BH55" s="3">
        <f t="shared" si="70"/>
        <v>1.7062314540059347E-3</v>
      </c>
      <c r="BI55">
        <v>265000</v>
      </c>
      <c r="BJ55" s="3">
        <f t="shared" si="71"/>
        <v>1.3947368421052632E-2</v>
      </c>
      <c r="BK55">
        <v>47500000</v>
      </c>
      <c r="BL55" s="3">
        <f t="shared" si="72"/>
        <v>1.5833333333333332E-4</v>
      </c>
      <c r="BM55">
        <v>3944000</v>
      </c>
      <c r="BN55" s="3">
        <f t="shared" si="73"/>
        <v>4.8939074326839558E-3</v>
      </c>
      <c r="BO55">
        <v>3</v>
      </c>
      <c r="BP55" s="3">
        <f t="shared" si="74"/>
        <v>4.6779978169343521E-4</v>
      </c>
      <c r="BQ55">
        <v>4</v>
      </c>
      <c r="BR55" s="3">
        <f t="shared" si="75"/>
        <v>0.16666666666666666</v>
      </c>
      <c r="BS55">
        <v>110778</v>
      </c>
      <c r="BT55" s="3">
        <f t="shared" si="76"/>
        <v>1.6818666962215768E-2</v>
      </c>
      <c r="BU55">
        <v>6399</v>
      </c>
      <c r="BV55" s="3">
        <f t="shared" si="77"/>
        <v>2.8466315527242964E-2</v>
      </c>
      <c r="BW55">
        <v>52</v>
      </c>
      <c r="BX55" s="3">
        <f t="shared" si="78"/>
        <v>3.8481462295567232E-3</v>
      </c>
      <c r="BY55">
        <v>3220</v>
      </c>
      <c r="BZ55" s="3">
        <f t="shared" si="79"/>
        <v>5.4780537597822389E-3</v>
      </c>
      <c r="CA55" s="1">
        <v>689100</v>
      </c>
      <c r="CB55">
        <v>22240</v>
      </c>
      <c r="CC55" s="3">
        <f t="shared" si="80"/>
        <v>7.192755498059508E-3</v>
      </c>
      <c r="CD55">
        <v>415900</v>
      </c>
      <c r="CE55" s="3">
        <f t="shared" si="81"/>
        <v>1.9553361542078044E-2</v>
      </c>
      <c r="CF55" s="2">
        <v>83871</v>
      </c>
      <c r="CG55" s="3">
        <f t="shared" si="82"/>
        <v>0.99509475886468324</v>
      </c>
      <c r="CH55" s="2">
        <v>0</v>
      </c>
      <c r="CI55" s="3">
        <f t="shared" si="83"/>
        <v>1</v>
      </c>
      <c r="CJ55" s="2">
        <v>2524</v>
      </c>
      <c r="CK55" s="3">
        <f t="shared" si="84"/>
        <v>0.88760742752816491</v>
      </c>
      <c r="CL55" s="1" t="s">
        <v>77</v>
      </c>
    </row>
    <row r="56" spans="1:90" x14ac:dyDescent="0.3">
      <c r="A56" t="s">
        <v>154</v>
      </c>
      <c r="B56" t="s">
        <v>155</v>
      </c>
      <c r="C56">
        <v>54</v>
      </c>
      <c r="D56" s="9">
        <f t="shared" si="43"/>
        <v>47</v>
      </c>
      <c r="E56" s="9">
        <f t="shared" si="0"/>
        <v>4.0465907996482153</v>
      </c>
      <c r="F56" s="1">
        <v>33655786</v>
      </c>
      <c r="G56">
        <v>17000000</v>
      </c>
      <c r="H56" s="3">
        <f t="shared" si="44"/>
        <v>2.2666666666666668E-2</v>
      </c>
      <c r="I56">
        <v>14406000</v>
      </c>
      <c r="J56" s="3">
        <f t="shared" si="45"/>
        <v>2.3273021001615508E-2</v>
      </c>
      <c r="K56">
        <v>600000</v>
      </c>
      <c r="L56" s="3">
        <f t="shared" si="46"/>
        <v>2.6200873362445413E-2</v>
      </c>
      <c r="M56">
        <v>373000</v>
      </c>
      <c r="N56" s="3">
        <f t="shared" si="47"/>
        <v>5.7874321179208689E-2</v>
      </c>
      <c r="O56">
        <v>198000</v>
      </c>
      <c r="P56" s="3">
        <f t="shared" si="48"/>
        <v>8.7610619469026554E-2</v>
      </c>
      <c r="Q56">
        <v>175000</v>
      </c>
      <c r="R56" s="3">
        <f t="shared" si="49"/>
        <v>3.1818181818181815E-2</v>
      </c>
      <c r="S56">
        <v>278</v>
      </c>
      <c r="T56" s="3">
        <f t="shared" si="50"/>
        <v>2.020055224531318E-2</v>
      </c>
      <c r="U56">
        <v>46</v>
      </c>
      <c r="V56" s="3">
        <f t="shared" si="51"/>
        <v>2.0034843205574911E-2</v>
      </c>
      <c r="W56">
        <v>50</v>
      </c>
      <c r="X56" s="3">
        <f t="shared" si="52"/>
        <v>1.7953321364452424E-2</v>
      </c>
      <c r="Y56">
        <v>158</v>
      </c>
      <c r="Z56" s="3">
        <f t="shared" si="53"/>
        <v>2.7530928733228786E-2</v>
      </c>
      <c r="AA56">
        <v>80</v>
      </c>
      <c r="AB56" s="3">
        <f t="shared" si="54"/>
        <v>2.8258565877781701E-2</v>
      </c>
      <c r="AC56">
        <v>128</v>
      </c>
      <c r="AD56" s="3">
        <f t="shared" si="55"/>
        <v>2.1104699093157462E-2</v>
      </c>
      <c r="AE56">
        <v>0</v>
      </c>
      <c r="AF56" s="3">
        <f t="shared" si="56"/>
        <v>0</v>
      </c>
      <c r="AG56">
        <v>1276</v>
      </c>
      <c r="AH56" s="3">
        <f t="shared" si="57"/>
        <v>6.311832212109221E-2</v>
      </c>
      <c r="AI56">
        <v>2348</v>
      </c>
      <c r="AJ56" s="3">
        <f t="shared" si="58"/>
        <v>5.7181822609712142E-2</v>
      </c>
      <c r="AK56">
        <v>448</v>
      </c>
      <c r="AL56" s="3">
        <f t="shared" si="59"/>
        <v>7.5016744809109179E-2</v>
      </c>
      <c r="AM56">
        <v>192</v>
      </c>
      <c r="AN56" s="3">
        <f t="shared" si="60"/>
        <v>2.5896951712975451E-2</v>
      </c>
      <c r="AO56">
        <v>72</v>
      </c>
      <c r="AP56" s="3">
        <f t="shared" si="61"/>
        <v>1.8982335881887687E-2</v>
      </c>
      <c r="AQ56">
        <v>121</v>
      </c>
      <c r="AR56" s="3">
        <f t="shared" si="62"/>
        <v>0.12512926577042399</v>
      </c>
      <c r="AS56">
        <v>0</v>
      </c>
      <c r="AT56" s="3">
        <f t="shared" si="63"/>
        <v>0</v>
      </c>
      <c r="AU56">
        <v>3</v>
      </c>
      <c r="AV56" s="3">
        <f t="shared" si="64"/>
        <v>5.8823529411764705E-2</v>
      </c>
      <c r="AW56">
        <v>0</v>
      </c>
      <c r="AX56" s="3">
        <f t="shared" si="65"/>
        <v>0</v>
      </c>
      <c r="AY56">
        <v>4</v>
      </c>
      <c r="AZ56" s="3">
        <f t="shared" si="66"/>
        <v>4.9382716049382713E-2</v>
      </c>
      <c r="BA56">
        <v>0</v>
      </c>
      <c r="BB56" s="3">
        <f t="shared" si="67"/>
        <v>0</v>
      </c>
      <c r="BC56">
        <v>18</v>
      </c>
      <c r="BD56" s="3">
        <f t="shared" si="68"/>
        <v>4.1095890410958902E-2</v>
      </c>
      <c r="BE56">
        <v>0</v>
      </c>
      <c r="BF56" s="3">
        <f t="shared" si="69"/>
        <v>0</v>
      </c>
      <c r="BG56">
        <v>500</v>
      </c>
      <c r="BH56" s="3">
        <f t="shared" si="70"/>
        <v>4.9455984174085062E-5</v>
      </c>
      <c r="BI56">
        <v>210000</v>
      </c>
      <c r="BJ56" s="3">
        <f t="shared" si="71"/>
        <v>1.1052631578947368E-2</v>
      </c>
      <c r="BK56">
        <v>680000</v>
      </c>
      <c r="BL56" s="3">
        <f t="shared" si="72"/>
        <v>2.2666666666666668E-6</v>
      </c>
      <c r="BM56">
        <v>12230000</v>
      </c>
      <c r="BN56" s="3">
        <f t="shared" si="73"/>
        <v>1.5175580096786202E-2</v>
      </c>
      <c r="BO56">
        <v>26</v>
      </c>
      <c r="BP56" s="3">
        <f t="shared" si="74"/>
        <v>4.0542647746764386E-3</v>
      </c>
      <c r="BQ56">
        <v>5</v>
      </c>
      <c r="BR56" s="3">
        <f t="shared" si="75"/>
        <v>0.20833333333333334</v>
      </c>
      <c r="BS56">
        <v>58395</v>
      </c>
      <c r="BT56" s="3">
        <f t="shared" si="76"/>
        <v>8.8657139256764859E-3</v>
      </c>
      <c r="BU56">
        <v>2067</v>
      </c>
      <c r="BV56" s="3">
        <f t="shared" si="77"/>
        <v>9.1951670877967184E-3</v>
      </c>
      <c r="BW56">
        <v>55</v>
      </c>
      <c r="BX56" s="3">
        <f t="shared" si="78"/>
        <v>4.0701546658773033E-3</v>
      </c>
      <c r="BY56">
        <v>3400</v>
      </c>
      <c r="BZ56" s="3">
        <f t="shared" si="79"/>
        <v>5.7842803674719289E-3</v>
      </c>
      <c r="CA56" s="1">
        <v>42980</v>
      </c>
      <c r="CB56">
        <v>24670</v>
      </c>
      <c r="CC56" s="3">
        <f t="shared" si="80"/>
        <v>7.9786545924967651E-3</v>
      </c>
      <c r="CD56">
        <v>282800</v>
      </c>
      <c r="CE56" s="3">
        <f t="shared" si="81"/>
        <v>1.3295721673718853E-2</v>
      </c>
      <c r="CF56" s="2">
        <v>446550</v>
      </c>
      <c r="CG56" s="3">
        <f t="shared" si="82"/>
        <v>0.97388327993018231</v>
      </c>
      <c r="CH56" s="2">
        <v>1835</v>
      </c>
      <c r="CI56" s="3">
        <f t="shared" si="83"/>
        <v>0.99091943784639747</v>
      </c>
      <c r="CJ56" s="2">
        <v>2363</v>
      </c>
      <c r="CK56" s="3">
        <f t="shared" si="84"/>
        <v>0.89477668433005297</v>
      </c>
      <c r="CL56" s="1" t="s">
        <v>77</v>
      </c>
    </row>
    <row r="57" spans="1:90" x14ac:dyDescent="0.3">
      <c r="A57" t="s">
        <v>156</v>
      </c>
      <c r="B57" t="s">
        <v>157</v>
      </c>
      <c r="C57">
        <v>55</v>
      </c>
      <c r="D57" s="9">
        <f t="shared" si="43"/>
        <v>70</v>
      </c>
      <c r="E57" s="9">
        <f t="shared" si="0"/>
        <v>3.4591092196203421</v>
      </c>
      <c r="F57" s="1">
        <v>18360353</v>
      </c>
      <c r="G57">
        <v>8500000</v>
      </c>
      <c r="H57" s="3">
        <f t="shared" si="44"/>
        <v>1.1333333333333334E-2</v>
      </c>
      <c r="I57">
        <v>6440000</v>
      </c>
      <c r="J57" s="3">
        <f t="shared" si="45"/>
        <v>1.0403877221324718E-2</v>
      </c>
      <c r="K57">
        <v>245000</v>
      </c>
      <c r="L57" s="3">
        <f t="shared" si="46"/>
        <v>1.0698689956331877E-2</v>
      </c>
      <c r="M57">
        <v>106500</v>
      </c>
      <c r="N57" s="3">
        <f t="shared" si="47"/>
        <v>1.65244375484872E-2</v>
      </c>
      <c r="O57">
        <v>74500</v>
      </c>
      <c r="P57" s="3">
        <f t="shared" si="48"/>
        <v>3.2964601769911506E-2</v>
      </c>
      <c r="Q57">
        <v>32000</v>
      </c>
      <c r="R57" s="3">
        <f t="shared" si="49"/>
        <v>5.8181818181818178E-3</v>
      </c>
      <c r="S57">
        <v>239</v>
      </c>
      <c r="T57" s="3">
        <f t="shared" si="50"/>
        <v>1.7366661822409535E-2</v>
      </c>
      <c r="U57">
        <v>91</v>
      </c>
      <c r="V57" s="3">
        <f t="shared" si="51"/>
        <v>3.9634146341463415E-2</v>
      </c>
      <c r="W57">
        <v>142</v>
      </c>
      <c r="X57" s="3">
        <f t="shared" si="52"/>
        <v>5.098743267504488E-2</v>
      </c>
      <c r="Y57">
        <v>64</v>
      </c>
      <c r="Z57" s="3">
        <f t="shared" si="53"/>
        <v>1.1151768600801533E-2</v>
      </c>
      <c r="AA57">
        <v>17</v>
      </c>
      <c r="AB57" s="3">
        <f t="shared" si="54"/>
        <v>6.0049452490286122E-3</v>
      </c>
      <c r="AC57">
        <v>67</v>
      </c>
      <c r="AD57" s="3">
        <f t="shared" si="55"/>
        <v>1.1046990931574609E-2</v>
      </c>
      <c r="AE57">
        <v>18</v>
      </c>
      <c r="AF57" s="3">
        <f t="shared" si="56"/>
        <v>1.9007391763463569E-2</v>
      </c>
      <c r="AG57">
        <v>300</v>
      </c>
      <c r="AH57" s="3">
        <f t="shared" si="57"/>
        <v>1.48397309062129E-2</v>
      </c>
      <c r="AI57">
        <v>1613</v>
      </c>
      <c r="AJ57" s="3">
        <f t="shared" si="58"/>
        <v>3.9282061273196632E-2</v>
      </c>
      <c r="AK57">
        <v>285</v>
      </c>
      <c r="AL57" s="3">
        <f t="shared" si="59"/>
        <v>4.7722705961152044E-2</v>
      </c>
      <c r="AM57">
        <v>744</v>
      </c>
      <c r="AN57" s="3">
        <f t="shared" si="60"/>
        <v>0.10035068788777987</v>
      </c>
      <c r="AO57">
        <v>393</v>
      </c>
      <c r="AP57" s="3">
        <f t="shared" si="61"/>
        <v>0.10361191668863697</v>
      </c>
      <c r="AQ57">
        <v>15</v>
      </c>
      <c r="AR57" s="3">
        <f t="shared" si="62"/>
        <v>1.5511892450879007E-2</v>
      </c>
      <c r="AS57">
        <v>0</v>
      </c>
      <c r="AT57" s="3">
        <f t="shared" si="63"/>
        <v>0</v>
      </c>
      <c r="AU57">
        <v>0</v>
      </c>
      <c r="AV57" s="3">
        <f t="shared" si="64"/>
        <v>0</v>
      </c>
      <c r="AW57">
        <v>0</v>
      </c>
      <c r="AX57" s="3">
        <f t="shared" si="65"/>
        <v>0</v>
      </c>
      <c r="AY57">
        <v>0</v>
      </c>
      <c r="AZ57" s="3">
        <f t="shared" si="66"/>
        <v>0</v>
      </c>
      <c r="BA57">
        <v>0</v>
      </c>
      <c r="BB57" s="3">
        <f t="shared" si="67"/>
        <v>0</v>
      </c>
      <c r="BC57">
        <v>12</v>
      </c>
      <c r="BD57" s="3">
        <f t="shared" si="68"/>
        <v>2.7397260273972601E-2</v>
      </c>
      <c r="BE57">
        <v>0</v>
      </c>
      <c r="BF57" s="3">
        <f t="shared" si="69"/>
        <v>0</v>
      </c>
      <c r="BG57">
        <v>1632000</v>
      </c>
      <c r="BH57" s="3">
        <f t="shared" si="70"/>
        <v>0.16142433234421366</v>
      </c>
      <c r="BI57">
        <v>260000</v>
      </c>
      <c r="BJ57" s="3">
        <f t="shared" si="71"/>
        <v>1.368421052631579E-2</v>
      </c>
      <c r="BK57">
        <v>30000000000</v>
      </c>
      <c r="BL57" s="3">
        <f t="shared" si="72"/>
        <v>0.1</v>
      </c>
      <c r="BM57">
        <v>9059000</v>
      </c>
      <c r="BN57" s="3">
        <f t="shared" si="73"/>
        <v>1.1240848740538528E-2</v>
      </c>
      <c r="BO57">
        <v>11</v>
      </c>
      <c r="BP57" s="3">
        <f t="shared" si="74"/>
        <v>1.7152658662092624E-3</v>
      </c>
      <c r="BQ57">
        <v>5</v>
      </c>
      <c r="BR57" s="3">
        <f t="shared" si="75"/>
        <v>0.20833333333333334</v>
      </c>
      <c r="BS57">
        <v>97418</v>
      </c>
      <c r="BT57" s="3">
        <f t="shared" si="76"/>
        <v>1.4790309430799758E-2</v>
      </c>
      <c r="BU57">
        <v>15333</v>
      </c>
      <c r="BV57" s="3">
        <f t="shared" si="77"/>
        <v>6.8209722765934733E-2</v>
      </c>
      <c r="BW57">
        <v>96</v>
      </c>
      <c r="BX57" s="3">
        <f t="shared" si="78"/>
        <v>7.1042699622585661E-3</v>
      </c>
      <c r="BY57">
        <v>2435</v>
      </c>
      <c r="BZ57" s="3">
        <f t="shared" si="79"/>
        <v>4.1425654984688668E-3</v>
      </c>
      <c r="CA57" s="1">
        <v>147700</v>
      </c>
      <c r="CB57">
        <v>30100</v>
      </c>
      <c r="CC57" s="3">
        <f t="shared" si="80"/>
        <v>9.7347994825355763E-3</v>
      </c>
      <c r="CD57">
        <v>460700</v>
      </c>
      <c r="CE57" s="3">
        <f t="shared" si="81"/>
        <v>2.1659614480488951E-2</v>
      </c>
      <c r="CF57" s="2">
        <v>2724900</v>
      </c>
      <c r="CG57" s="3">
        <f t="shared" si="82"/>
        <v>0.84063273873419264</v>
      </c>
      <c r="CH57" s="2">
        <v>26</v>
      </c>
      <c r="CI57" s="3">
        <f t="shared" si="83"/>
        <v>0.99987133808392714</v>
      </c>
      <c r="CJ57" s="2">
        <v>13364</v>
      </c>
      <c r="CK57" s="3">
        <f t="shared" si="84"/>
        <v>0.40490715589793824</v>
      </c>
      <c r="CL57" s="1" t="s">
        <v>77</v>
      </c>
    </row>
    <row r="58" spans="1:90" x14ac:dyDescent="0.3">
      <c r="A58" t="s">
        <v>158</v>
      </c>
      <c r="B58" t="s">
        <v>159</v>
      </c>
      <c r="C58">
        <v>56</v>
      </c>
      <c r="D58" s="9">
        <f t="shared" si="43"/>
        <v>38</v>
      </c>
      <c r="E58" s="9">
        <f t="shared" si="0"/>
        <v>4.2786236755767204</v>
      </c>
      <c r="F58" s="1">
        <v>5498211</v>
      </c>
      <c r="G58">
        <v>2300000</v>
      </c>
      <c r="H58" s="3">
        <f t="shared" si="44"/>
        <v>3.0666666666666668E-3</v>
      </c>
      <c r="I58">
        <v>1900000</v>
      </c>
      <c r="J58" s="3">
        <f t="shared" si="45"/>
        <v>3.0694668820678513E-3</v>
      </c>
      <c r="K58">
        <v>65000</v>
      </c>
      <c r="L58" s="3">
        <f t="shared" si="46"/>
        <v>2.8384279475982535E-3</v>
      </c>
      <c r="M58">
        <v>262050</v>
      </c>
      <c r="N58" s="3">
        <f t="shared" si="47"/>
        <v>4.0659425911559348E-2</v>
      </c>
      <c r="O58">
        <v>29350</v>
      </c>
      <c r="P58" s="3">
        <f t="shared" si="48"/>
        <v>1.2986725663716813E-2</v>
      </c>
      <c r="Q58">
        <v>232700</v>
      </c>
      <c r="R58" s="3">
        <f t="shared" si="49"/>
        <v>4.2309090909090907E-2</v>
      </c>
      <c r="S58">
        <v>153</v>
      </c>
      <c r="T58" s="3">
        <f t="shared" si="50"/>
        <v>1.1117570120622002E-2</v>
      </c>
      <c r="U58">
        <v>54</v>
      </c>
      <c r="V58" s="3">
        <f t="shared" si="51"/>
        <v>2.3519163763066203E-2</v>
      </c>
      <c r="W58">
        <v>54</v>
      </c>
      <c r="X58" s="3">
        <f t="shared" si="52"/>
        <v>1.9389587073608619E-2</v>
      </c>
      <c r="Y58">
        <v>31</v>
      </c>
      <c r="Z58" s="3">
        <f t="shared" si="53"/>
        <v>5.4016379160132426E-3</v>
      </c>
      <c r="AA58">
        <v>64</v>
      </c>
      <c r="AB58" s="3">
        <f t="shared" si="54"/>
        <v>2.2606852702225361E-2</v>
      </c>
      <c r="AC58">
        <v>27</v>
      </c>
      <c r="AD58" s="3">
        <f t="shared" si="55"/>
        <v>4.4517724649629021E-3</v>
      </c>
      <c r="AE58">
        <v>0</v>
      </c>
      <c r="AF58" s="3">
        <f t="shared" si="56"/>
        <v>0</v>
      </c>
      <c r="AG58">
        <v>160</v>
      </c>
      <c r="AH58" s="3">
        <f t="shared" si="57"/>
        <v>7.9145231499802137E-3</v>
      </c>
      <c r="AI58">
        <v>1370</v>
      </c>
      <c r="AJ58" s="3">
        <f t="shared" si="58"/>
        <v>3.336418099459354E-2</v>
      </c>
      <c r="AK58">
        <v>90</v>
      </c>
      <c r="AL58" s="3">
        <f t="shared" si="59"/>
        <v>1.5070328198258541E-2</v>
      </c>
      <c r="AM58">
        <v>871</v>
      </c>
      <c r="AN58" s="3">
        <f t="shared" si="60"/>
        <v>0.11748044240625843</v>
      </c>
      <c r="AO58">
        <v>58</v>
      </c>
      <c r="AP58" s="3">
        <f t="shared" si="61"/>
        <v>1.5291326127076193E-2</v>
      </c>
      <c r="AQ58">
        <v>270</v>
      </c>
      <c r="AR58" s="3">
        <f t="shared" si="62"/>
        <v>0.27921406411582211</v>
      </c>
      <c r="AS58">
        <v>0</v>
      </c>
      <c r="AT58" s="3">
        <f t="shared" si="63"/>
        <v>0</v>
      </c>
      <c r="AU58">
        <v>0</v>
      </c>
      <c r="AV58" s="3">
        <f t="shared" si="64"/>
        <v>0</v>
      </c>
      <c r="AW58">
        <v>0</v>
      </c>
      <c r="AX58" s="3">
        <f t="shared" si="65"/>
        <v>0</v>
      </c>
      <c r="AY58">
        <v>0</v>
      </c>
      <c r="AZ58" s="3">
        <f t="shared" si="66"/>
        <v>0</v>
      </c>
      <c r="BA58">
        <v>0</v>
      </c>
      <c r="BB58" s="3">
        <f t="shared" si="67"/>
        <v>0</v>
      </c>
      <c r="BC58">
        <v>8</v>
      </c>
      <c r="BD58" s="3">
        <f t="shared" si="68"/>
        <v>1.8264840182648401E-2</v>
      </c>
      <c r="BE58">
        <v>18</v>
      </c>
      <c r="BF58" s="3">
        <f t="shared" si="69"/>
        <v>0.39130434782608697</v>
      </c>
      <c r="BG58">
        <v>8500</v>
      </c>
      <c r="BH58" s="3">
        <f t="shared" si="70"/>
        <v>8.4075173095944612E-4</v>
      </c>
      <c r="BI58">
        <v>200000</v>
      </c>
      <c r="BJ58" s="3">
        <f t="shared" si="71"/>
        <v>1.0526315789473684E-2</v>
      </c>
      <c r="BK58">
        <v>0</v>
      </c>
      <c r="BL58" s="3">
        <f t="shared" si="72"/>
        <v>0</v>
      </c>
      <c r="BM58">
        <v>2675000</v>
      </c>
      <c r="BN58" s="3">
        <f t="shared" si="73"/>
        <v>3.3192703809405634E-3</v>
      </c>
      <c r="BO58">
        <v>97</v>
      </c>
      <c r="BP58" s="3">
        <f t="shared" si="74"/>
        <v>1.5125526274754405E-2</v>
      </c>
      <c r="BQ58">
        <v>6</v>
      </c>
      <c r="BR58" s="3">
        <f t="shared" si="75"/>
        <v>0.25</v>
      </c>
      <c r="BS58">
        <v>78141</v>
      </c>
      <c r="BT58" s="3">
        <f t="shared" si="76"/>
        <v>1.1863614211255867E-2</v>
      </c>
      <c r="BU58">
        <v>5919</v>
      </c>
      <c r="BV58" s="3">
        <f t="shared" si="77"/>
        <v>2.6331008220933129E-2</v>
      </c>
      <c r="BW58">
        <v>148</v>
      </c>
      <c r="BX58" s="3">
        <f t="shared" si="78"/>
        <v>1.0952416191815289E-2</v>
      </c>
      <c r="BY58">
        <v>3660</v>
      </c>
      <c r="BZ58" s="3">
        <f t="shared" si="79"/>
        <v>6.2266076896903711E-3</v>
      </c>
      <c r="CA58" s="1">
        <v>544700</v>
      </c>
      <c r="CB58">
        <v>10500</v>
      </c>
      <c r="CC58" s="3">
        <f t="shared" si="80"/>
        <v>3.3958602846054335E-3</v>
      </c>
      <c r="CD58">
        <v>230000</v>
      </c>
      <c r="CE58" s="3">
        <f t="shared" si="81"/>
        <v>1.0813352139163141E-2</v>
      </c>
      <c r="CF58" s="2">
        <v>338145</v>
      </c>
      <c r="CG58" s="3">
        <f t="shared" si="82"/>
        <v>0.98022340542378572</v>
      </c>
      <c r="CH58" s="2">
        <v>1250</v>
      </c>
      <c r="CI58" s="3">
        <f t="shared" si="83"/>
        <v>0.9938143309580364</v>
      </c>
      <c r="CJ58" s="2">
        <v>2563</v>
      </c>
      <c r="CK58" s="3">
        <f t="shared" si="84"/>
        <v>0.88587077525938462</v>
      </c>
      <c r="CL58" s="1">
        <v>7842</v>
      </c>
    </row>
    <row r="59" spans="1:90" x14ac:dyDescent="0.3">
      <c r="A59" t="s">
        <v>160</v>
      </c>
      <c r="B59" t="s">
        <v>161</v>
      </c>
      <c r="C59">
        <v>57</v>
      </c>
      <c r="D59" s="9">
        <f t="shared" si="43"/>
        <v>43</v>
      </c>
      <c r="E59" s="9">
        <f t="shared" si="0"/>
        <v>4.093629304094172</v>
      </c>
      <c r="F59" s="1">
        <v>156186882</v>
      </c>
      <c r="G59">
        <v>37000000</v>
      </c>
      <c r="H59" s="3">
        <f t="shared" si="44"/>
        <v>4.9333333333333333E-2</v>
      </c>
      <c r="I59">
        <v>66110000</v>
      </c>
      <c r="J59" s="3">
        <f t="shared" si="45"/>
        <v>0.10680129240710824</v>
      </c>
      <c r="K59">
        <v>3300000</v>
      </c>
      <c r="L59" s="3">
        <f t="shared" si="46"/>
        <v>0.14410480349344978</v>
      </c>
      <c r="M59">
        <v>225000</v>
      </c>
      <c r="N59" s="3">
        <f t="shared" si="47"/>
        <v>3.4910783553141971E-2</v>
      </c>
      <c r="O59">
        <v>160000</v>
      </c>
      <c r="P59" s="3">
        <f t="shared" si="48"/>
        <v>7.0796460176991149E-2</v>
      </c>
      <c r="Q59">
        <v>65000</v>
      </c>
      <c r="R59" s="3">
        <f t="shared" si="49"/>
        <v>1.1818181818181818E-2</v>
      </c>
      <c r="S59">
        <v>166</v>
      </c>
      <c r="T59" s="3">
        <f t="shared" si="50"/>
        <v>1.2062200261589886E-2</v>
      </c>
      <c r="U59">
        <v>45</v>
      </c>
      <c r="V59" s="3">
        <f t="shared" si="51"/>
        <v>1.95993031358885E-2</v>
      </c>
      <c r="W59">
        <v>45</v>
      </c>
      <c r="X59" s="3">
        <f t="shared" si="52"/>
        <v>1.615798922800718E-2</v>
      </c>
      <c r="Y59">
        <v>65</v>
      </c>
      <c r="Z59" s="3">
        <f t="shared" si="53"/>
        <v>1.1326014985189058E-2</v>
      </c>
      <c r="AA59">
        <v>53</v>
      </c>
      <c r="AB59" s="3">
        <f t="shared" si="54"/>
        <v>1.8721299894030378E-2</v>
      </c>
      <c r="AC59">
        <v>61</v>
      </c>
      <c r="AD59" s="3">
        <f t="shared" si="55"/>
        <v>1.0057708161582853E-2</v>
      </c>
      <c r="AE59">
        <v>0</v>
      </c>
      <c r="AF59" s="3">
        <f t="shared" si="56"/>
        <v>0</v>
      </c>
      <c r="AG59">
        <v>534</v>
      </c>
      <c r="AH59" s="3">
        <f t="shared" si="57"/>
        <v>2.6414721013058962E-2</v>
      </c>
      <c r="AI59">
        <v>942</v>
      </c>
      <c r="AJ59" s="3">
        <f t="shared" si="58"/>
        <v>2.2940918610881107E-2</v>
      </c>
      <c r="AK59">
        <v>18</v>
      </c>
      <c r="AL59" s="3">
        <f t="shared" si="59"/>
        <v>3.0140656396517081E-3</v>
      </c>
      <c r="AM59">
        <v>0</v>
      </c>
      <c r="AN59" s="3">
        <f t="shared" si="60"/>
        <v>0</v>
      </c>
      <c r="AO59">
        <v>32</v>
      </c>
      <c r="AP59" s="3">
        <f t="shared" si="61"/>
        <v>8.4365937252834176E-3</v>
      </c>
      <c r="AQ59">
        <v>89</v>
      </c>
      <c r="AR59" s="3">
        <f t="shared" si="62"/>
        <v>9.2037228541882107E-2</v>
      </c>
      <c r="AS59">
        <v>0</v>
      </c>
      <c r="AT59" s="3">
        <f t="shared" si="63"/>
        <v>0</v>
      </c>
      <c r="AU59">
        <v>6</v>
      </c>
      <c r="AV59" s="3">
        <f t="shared" si="64"/>
        <v>0.11764705882352941</v>
      </c>
      <c r="AW59">
        <v>0</v>
      </c>
      <c r="AX59" s="3">
        <f t="shared" si="65"/>
        <v>0</v>
      </c>
      <c r="AY59">
        <v>4</v>
      </c>
      <c r="AZ59" s="3">
        <f t="shared" si="66"/>
        <v>4.9382716049382713E-2</v>
      </c>
      <c r="BA59">
        <v>0</v>
      </c>
      <c r="BB59" s="3">
        <f t="shared" si="67"/>
        <v>0</v>
      </c>
      <c r="BC59">
        <v>28</v>
      </c>
      <c r="BD59" s="3">
        <f t="shared" si="68"/>
        <v>6.3926940639269403E-2</v>
      </c>
      <c r="BE59">
        <v>5</v>
      </c>
      <c r="BF59" s="3">
        <f t="shared" si="69"/>
        <v>0.10869565217391304</v>
      </c>
      <c r="BG59">
        <v>4000</v>
      </c>
      <c r="BH59" s="3">
        <f t="shared" si="70"/>
        <v>3.956478733926805E-4</v>
      </c>
      <c r="BI59">
        <v>119000</v>
      </c>
      <c r="BJ59" s="3">
        <f t="shared" si="71"/>
        <v>6.263157894736842E-3</v>
      </c>
      <c r="BK59">
        <v>28000000</v>
      </c>
      <c r="BL59" s="3">
        <f t="shared" si="72"/>
        <v>9.333333333333333E-5</v>
      </c>
      <c r="BM59">
        <v>83590000</v>
      </c>
      <c r="BN59" s="3">
        <f t="shared" si="73"/>
        <v>0.10372254622161559</v>
      </c>
      <c r="BO59">
        <v>62</v>
      </c>
      <c r="BP59" s="3">
        <f t="shared" si="74"/>
        <v>9.6678621549976616E-3</v>
      </c>
      <c r="BQ59">
        <v>3</v>
      </c>
      <c r="BR59" s="3">
        <f t="shared" si="75"/>
        <v>0.125</v>
      </c>
      <c r="BS59">
        <v>21269</v>
      </c>
      <c r="BT59" s="3">
        <f t="shared" si="76"/>
        <v>3.2291269712340642E-3</v>
      </c>
      <c r="BU59">
        <v>2622</v>
      </c>
      <c r="BV59" s="3">
        <f t="shared" si="77"/>
        <v>1.1664116160717464E-2</v>
      </c>
      <c r="BW59">
        <v>18</v>
      </c>
      <c r="BX59" s="3">
        <f t="shared" si="78"/>
        <v>1.332050617923481E-3</v>
      </c>
      <c r="BY59">
        <v>1590</v>
      </c>
      <c r="BZ59" s="3">
        <f t="shared" si="79"/>
        <v>2.7050017012589314E-3</v>
      </c>
      <c r="CA59" s="1">
        <v>37260</v>
      </c>
      <c r="CB59">
        <v>29770</v>
      </c>
      <c r="CC59" s="3">
        <f t="shared" si="80"/>
        <v>9.6280724450194047E-3</v>
      </c>
      <c r="CD59">
        <v>628400</v>
      </c>
      <c r="CE59" s="3">
        <f t="shared" si="81"/>
        <v>2.9543958627174426E-2</v>
      </c>
      <c r="CF59" s="2">
        <v>143998</v>
      </c>
      <c r="CG59" s="3">
        <f t="shared" si="82"/>
        <v>0.99157819850719153</v>
      </c>
      <c r="CH59" s="2">
        <v>580</v>
      </c>
      <c r="CI59" s="3">
        <f t="shared" si="83"/>
        <v>0.99712984956452888</v>
      </c>
      <c r="CJ59" s="2">
        <v>4413</v>
      </c>
      <c r="CK59" s="3">
        <f t="shared" si="84"/>
        <v>0.80349111635570203</v>
      </c>
      <c r="CL59" s="1">
        <v>8370</v>
      </c>
    </row>
    <row r="60" spans="1:90" x14ac:dyDescent="0.3">
      <c r="A60" t="s">
        <v>162</v>
      </c>
      <c r="B60" t="s">
        <v>163</v>
      </c>
      <c r="C60">
        <v>58</v>
      </c>
      <c r="D60" s="9">
        <f t="shared" si="43"/>
        <v>55</v>
      </c>
      <c r="E60" s="9">
        <f t="shared" si="0"/>
        <v>3.7878556663139027</v>
      </c>
      <c r="F60" s="1">
        <v>9872765</v>
      </c>
      <c r="G60">
        <v>5000000</v>
      </c>
      <c r="H60" s="3">
        <f t="shared" si="44"/>
        <v>6.6666666666666671E-3</v>
      </c>
      <c r="I60">
        <v>3750000</v>
      </c>
      <c r="J60" s="3">
        <f t="shared" si="45"/>
        <v>6.0581583198707593E-3</v>
      </c>
      <c r="K60">
        <v>150000</v>
      </c>
      <c r="L60" s="3">
        <f t="shared" si="46"/>
        <v>6.5502183406113534E-3</v>
      </c>
      <c r="M60">
        <v>374500</v>
      </c>
      <c r="N60" s="3">
        <f t="shared" si="47"/>
        <v>5.8107059736229635E-2</v>
      </c>
      <c r="O60">
        <v>67000</v>
      </c>
      <c r="P60" s="3">
        <f t="shared" si="48"/>
        <v>2.9646017699115044E-2</v>
      </c>
      <c r="Q60">
        <v>307500</v>
      </c>
      <c r="R60" s="3">
        <f t="shared" si="49"/>
        <v>5.5909090909090908E-2</v>
      </c>
      <c r="S60">
        <v>135</v>
      </c>
      <c r="T60" s="3">
        <f t="shared" si="50"/>
        <v>9.8096206946664734E-3</v>
      </c>
      <c r="U60">
        <v>18</v>
      </c>
      <c r="V60" s="3">
        <f t="shared" si="51"/>
        <v>7.8397212543554005E-3</v>
      </c>
      <c r="W60">
        <v>29</v>
      </c>
      <c r="X60" s="3">
        <f t="shared" si="52"/>
        <v>1.0412926391382405E-2</v>
      </c>
      <c r="Y60">
        <v>64</v>
      </c>
      <c r="Z60" s="3">
        <f t="shared" si="53"/>
        <v>1.1151768600801533E-2</v>
      </c>
      <c r="AA60">
        <v>19</v>
      </c>
      <c r="AB60" s="3">
        <f t="shared" si="54"/>
        <v>6.7114093959731542E-3</v>
      </c>
      <c r="AC60">
        <v>93</v>
      </c>
      <c r="AD60" s="3">
        <f t="shared" si="55"/>
        <v>1.5333882934872218E-2</v>
      </c>
      <c r="AE60">
        <v>17</v>
      </c>
      <c r="AF60" s="3">
        <f t="shared" si="56"/>
        <v>1.7951425554382259E-2</v>
      </c>
      <c r="AG60">
        <v>520</v>
      </c>
      <c r="AH60" s="3">
        <f t="shared" si="57"/>
        <v>2.5722200237435693E-2</v>
      </c>
      <c r="AI60">
        <v>1590</v>
      </c>
      <c r="AJ60" s="3">
        <f t="shared" si="58"/>
        <v>3.8721932687156006E-2</v>
      </c>
      <c r="AK60">
        <v>119</v>
      </c>
      <c r="AL60" s="3">
        <f t="shared" si="59"/>
        <v>1.9926322839919623E-2</v>
      </c>
      <c r="AM60">
        <v>240</v>
      </c>
      <c r="AN60" s="3">
        <f t="shared" si="60"/>
        <v>3.2371189641219315E-2</v>
      </c>
      <c r="AO60">
        <v>191</v>
      </c>
      <c r="AP60" s="3">
        <f t="shared" si="61"/>
        <v>5.0355918797785393E-2</v>
      </c>
      <c r="AQ60">
        <v>31</v>
      </c>
      <c r="AR60" s="3">
        <f t="shared" si="62"/>
        <v>3.2057911065149949E-2</v>
      </c>
      <c r="AS60">
        <v>0</v>
      </c>
      <c r="AT60" s="3">
        <f t="shared" si="63"/>
        <v>0</v>
      </c>
      <c r="AU60">
        <v>1</v>
      </c>
      <c r="AV60" s="3">
        <f t="shared" si="64"/>
        <v>1.9607843137254902E-2</v>
      </c>
      <c r="AW60">
        <v>0</v>
      </c>
      <c r="AX60" s="3">
        <f t="shared" si="65"/>
        <v>0</v>
      </c>
      <c r="AY60">
        <v>0</v>
      </c>
      <c r="AZ60" s="3">
        <f t="shared" si="66"/>
        <v>0</v>
      </c>
      <c r="BA60">
        <v>4</v>
      </c>
      <c r="BB60" s="3">
        <f t="shared" si="67"/>
        <v>5.2631578947368418E-2</v>
      </c>
      <c r="BC60">
        <v>12</v>
      </c>
      <c r="BD60" s="3">
        <f t="shared" si="68"/>
        <v>2.7397260273972601E-2</v>
      </c>
      <c r="BE60">
        <v>7</v>
      </c>
      <c r="BF60" s="3">
        <f t="shared" si="69"/>
        <v>0.15217391304347827</v>
      </c>
      <c r="BG60">
        <v>845900</v>
      </c>
      <c r="BH60" s="3">
        <f t="shared" si="70"/>
        <v>8.3669634025717116E-2</v>
      </c>
      <c r="BI60">
        <v>93000</v>
      </c>
      <c r="BJ60" s="3">
        <f t="shared" si="71"/>
        <v>4.8947368421052634E-3</v>
      </c>
      <c r="BK60">
        <v>7000000000</v>
      </c>
      <c r="BL60" s="3">
        <f t="shared" si="72"/>
        <v>2.3333333333333334E-2</v>
      </c>
      <c r="BM60">
        <v>4961000</v>
      </c>
      <c r="BN60" s="3">
        <f t="shared" si="73"/>
        <v>6.1558506018116388E-3</v>
      </c>
      <c r="BO60">
        <v>90</v>
      </c>
      <c r="BP60" s="3">
        <f t="shared" si="74"/>
        <v>1.4033993450803056E-2</v>
      </c>
      <c r="BQ60">
        <v>1</v>
      </c>
      <c r="BR60" s="3">
        <f t="shared" si="75"/>
        <v>4.1666666666666664E-2</v>
      </c>
      <c r="BS60">
        <v>52942</v>
      </c>
      <c r="BT60" s="3">
        <f t="shared" si="76"/>
        <v>8.0378221877414942E-3</v>
      </c>
      <c r="BU60">
        <v>2918</v>
      </c>
      <c r="BV60" s="3">
        <f t="shared" si="77"/>
        <v>1.2980888999608527E-2</v>
      </c>
      <c r="BW60">
        <v>37</v>
      </c>
      <c r="BX60" s="3">
        <f t="shared" si="78"/>
        <v>2.7381040479538222E-3</v>
      </c>
      <c r="BY60">
        <v>3185</v>
      </c>
      <c r="BZ60" s="3">
        <f t="shared" si="79"/>
        <v>5.4185096971759101E-3</v>
      </c>
      <c r="CA60" s="1">
        <v>12650</v>
      </c>
      <c r="CB60">
        <v>7453</v>
      </c>
      <c r="CC60" s="3">
        <f t="shared" si="80"/>
        <v>2.4104139715394567E-3</v>
      </c>
      <c r="CD60">
        <v>167900</v>
      </c>
      <c r="CE60" s="3">
        <f t="shared" si="81"/>
        <v>7.8937470615890928E-3</v>
      </c>
      <c r="CF60" s="2">
        <v>86600</v>
      </c>
      <c r="CG60" s="3">
        <f t="shared" si="82"/>
        <v>0.99493515181268344</v>
      </c>
      <c r="CH60" s="2">
        <v>713</v>
      </c>
      <c r="CI60" s="3">
        <f t="shared" si="83"/>
        <v>0.99647169437846395</v>
      </c>
      <c r="CJ60" s="2">
        <v>2468</v>
      </c>
      <c r="CK60" s="3">
        <f t="shared" si="84"/>
        <v>0.89010108206795213</v>
      </c>
      <c r="CL60" s="1" t="s">
        <v>77</v>
      </c>
    </row>
    <row r="61" spans="1:90" x14ac:dyDescent="0.3">
      <c r="A61" t="s">
        <v>164</v>
      </c>
      <c r="B61" t="s">
        <v>165</v>
      </c>
      <c r="C61">
        <v>59</v>
      </c>
      <c r="D61" s="9">
        <f t="shared" si="43"/>
        <v>33</v>
      </c>
      <c r="E61" s="9">
        <f t="shared" si="0"/>
        <v>4.5168490153511041</v>
      </c>
      <c r="F61" s="1">
        <v>38146025</v>
      </c>
      <c r="G61">
        <v>16000000</v>
      </c>
      <c r="H61" s="3">
        <f t="shared" si="44"/>
        <v>2.1333333333333333E-2</v>
      </c>
      <c r="I61">
        <v>13015000</v>
      </c>
      <c r="J61" s="3">
        <f t="shared" si="45"/>
        <v>2.1025848142164783E-2</v>
      </c>
      <c r="K61">
        <v>655000</v>
      </c>
      <c r="L61" s="3">
        <f t="shared" si="46"/>
        <v>2.8602620087336245E-2</v>
      </c>
      <c r="M61">
        <v>318000</v>
      </c>
      <c r="N61" s="3">
        <f t="shared" si="47"/>
        <v>4.9340574088440649E-2</v>
      </c>
      <c r="O61">
        <v>168000</v>
      </c>
      <c r="P61" s="3">
        <f t="shared" si="48"/>
        <v>7.4336283185840707E-2</v>
      </c>
      <c r="Q61">
        <v>150000</v>
      </c>
      <c r="R61" s="3">
        <f t="shared" si="49"/>
        <v>2.7272727272727271E-2</v>
      </c>
      <c r="S61">
        <v>151</v>
      </c>
      <c r="T61" s="3">
        <f t="shared" si="50"/>
        <v>1.0972242406626944E-2</v>
      </c>
      <c r="U61">
        <v>13</v>
      </c>
      <c r="V61" s="3">
        <f t="shared" si="51"/>
        <v>5.6620209059233453E-3</v>
      </c>
      <c r="W61">
        <v>15</v>
      </c>
      <c r="X61" s="3">
        <f t="shared" si="52"/>
        <v>5.3859964093357273E-3</v>
      </c>
      <c r="Y61">
        <v>93</v>
      </c>
      <c r="Z61" s="3">
        <f t="shared" si="53"/>
        <v>1.6204913748039729E-2</v>
      </c>
      <c r="AA61">
        <v>61</v>
      </c>
      <c r="AB61" s="3">
        <f t="shared" si="54"/>
        <v>2.1547156481808549E-2</v>
      </c>
      <c r="AC61">
        <v>161</v>
      </c>
      <c r="AD61" s="3">
        <f t="shared" si="55"/>
        <v>2.6545754328112119E-2</v>
      </c>
      <c r="AE61">
        <v>32</v>
      </c>
      <c r="AF61" s="3">
        <f t="shared" si="56"/>
        <v>3.3790918690601898E-2</v>
      </c>
      <c r="AG61">
        <v>301</v>
      </c>
      <c r="AH61" s="3">
        <f t="shared" si="57"/>
        <v>1.4889196675900277E-2</v>
      </c>
      <c r="AI61">
        <v>5173</v>
      </c>
      <c r="AJ61" s="3">
        <f t="shared" si="58"/>
        <v>0.12598022502557107</v>
      </c>
      <c r="AK61">
        <v>103</v>
      </c>
      <c r="AL61" s="3">
        <f t="shared" si="59"/>
        <v>1.724715338245144E-2</v>
      </c>
      <c r="AM61">
        <v>136</v>
      </c>
      <c r="AN61" s="3">
        <f t="shared" si="60"/>
        <v>1.8343674130024277E-2</v>
      </c>
      <c r="AO61">
        <v>59</v>
      </c>
      <c r="AP61" s="3">
        <f t="shared" si="61"/>
        <v>1.55549696809913E-2</v>
      </c>
      <c r="AQ61">
        <v>60</v>
      </c>
      <c r="AR61" s="3">
        <f t="shared" si="62"/>
        <v>6.2047569803516028E-2</v>
      </c>
      <c r="AS61">
        <v>0</v>
      </c>
      <c r="AT61" s="3">
        <f t="shared" si="63"/>
        <v>0</v>
      </c>
      <c r="AU61">
        <v>0</v>
      </c>
      <c r="AV61" s="3">
        <f t="shared" si="64"/>
        <v>0</v>
      </c>
      <c r="AW61">
        <v>0</v>
      </c>
      <c r="AX61" s="3">
        <f t="shared" si="65"/>
        <v>0</v>
      </c>
      <c r="AY61">
        <v>0</v>
      </c>
      <c r="AZ61" s="3">
        <f t="shared" si="66"/>
        <v>0</v>
      </c>
      <c r="BA61">
        <v>0</v>
      </c>
      <c r="BB61" s="3">
        <f t="shared" si="67"/>
        <v>0</v>
      </c>
      <c r="BC61">
        <v>23</v>
      </c>
      <c r="BD61" s="3">
        <f t="shared" si="68"/>
        <v>5.2511415525114152E-2</v>
      </c>
      <c r="BE61">
        <v>0</v>
      </c>
      <c r="BF61" s="3">
        <f t="shared" si="69"/>
        <v>0</v>
      </c>
      <c r="BG61">
        <v>3368000</v>
      </c>
      <c r="BH61" s="3">
        <f t="shared" si="70"/>
        <v>0.333135509396637</v>
      </c>
      <c r="BI61">
        <v>770000</v>
      </c>
      <c r="BJ61" s="3">
        <f t="shared" si="71"/>
        <v>4.0526315789473681E-2</v>
      </c>
      <c r="BK61">
        <v>143000000000</v>
      </c>
      <c r="BL61" s="3">
        <f t="shared" si="72"/>
        <v>0.47666666666666668</v>
      </c>
      <c r="BM61">
        <v>8900000</v>
      </c>
      <c r="BN61" s="3">
        <f t="shared" si="73"/>
        <v>1.1043553790792903E-2</v>
      </c>
      <c r="BO61">
        <v>2</v>
      </c>
      <c r="BP61" s="3">
        <f t="shared" si="74"/>
        <v>3.1186652112895683E-4</v>
      </c>
      <c r="BQ61">
        <v>3</v>
      </c>
      <c r="BR61" s="3">
        <f t="shared" si="75"/>
        <v>0.125</v>
      </c>
      <c r="BS61">
        <v>44900</v>
      </c>
      <c r="BT61" s="3">
        <f t="shared" si="76"/>
        <v>6.8168602665103903E-3</v>
      </c>
      <c r="BU61">
        <v>2272</v>
      </c>
      <c r="BV61" s="3">
        <f t="shared" si="77"/>
        <v>1.0107121249866543E-2</v>
      </c>
      <c r="BW61">
        <v>102</v>
      </c>
      <c r="BX61" s="3">
        <f t="shared" si="78"/>
        <v>7.5482868348997261E-3</v>
      </c>
      <c r="BY61">
        <v>6055</v>
      </c>
      <c r="BZ61" s="3">
        <f t="shared" si="79"/>
        <v>1.0301122830894863E-2</v>
      </c>
      <c r="CA61" s="1">
        <v>68010</v>
      </c>
      <c r="CB61">
        <v>44150</v>
      </c>
      <c r="CC61" s="3">
        <f t="shared" si="80"/>
        <v>1.4278783958602846E-2</v>
      </c>
      <c r="CD61">
        <v>596700</v>
      </c>
      <c r="CE61" s="3">
        <f t="shared" si="81"/>
        <v>2.8053596614950636E-2</v>
      </c>
      <c r="CF61" s="2">
        <v>438317</v>
      </c>
      <c r="CG61" s="3">
        <f t="shared" si="82"/>
        <v>0.97436479142124666</v>
      </c>
      <c r="CH61" s="2">
        <v>58</v>
      </c>
      <c r="CI61" s="3">
        <f t="shared" si="83"/>
        <v>0.99971298495645289</v>
      </c>
      <c r="CJ61" s="2">
        <v>3809</v>
      </c>
      <c r="CK61" s="3">
        <f t="shared" si="84"/>
        <v>0.83038696174912052</v>
      </c>
      <c r="CL61" s="1">
        <v>5279</v>
      </c>
    </row>
    <row r="62" spans="1:90" x14ac:dyDescent="0.3">
      <c r="A62" t="s">
        <v>166</v>
      </c>
      <c r="B62" t="s">
        <v>167</v>
      </c>
      <c r="C62">
        <v>60</v>
      </c>
      <c r="D62" s="9">
        <f t="shared" si="43"/>
        <v>32</v>
      </c>
      <c r="E62" s="9">
        <f t="shared" si="0"/>
        <v>4.5741396367832161</v>
      </c>
      <c r="F62" s="1">
        <v>5927482</v>
      </c>
      <c r="G62">
        <v>3660000</v>
      </c>
      <c r="H62" s="3">
        <f t="shared" si="44"/>
        <v>4.8799999999999998E-3</v>
      </c>
      <c r="I62">
        <v>3100000</v>
      </c>
      <c r="J62" s="3">
        <f t="shared" si="45"/>
        <v>5.008077544426494E-3</v>
      </c>
      <c r="K62">
        <v>52000</v>
      </c>
      <c r="L62" s="3">
        <f t="shared" si="46"/>
        <v>2.2707423580786024E-3</v>
      </c>
      <c r="M62">
        <v>64000</v>
      </c>
      <c r="N62" s="3">
        <f t="shared" si="47"/>
        <v>9.9301784328937152E-3</v>
      </c>
      <c r="O62">
        <v>64000</v>
      </c>
      <c r="P62" s="3">
        <f t="shared" si="48"/>
        <v>2.831858407079646E-2</v>
      </c>
      <c r="Q62">
        <v>0</v>
      </c>
      <c r="R62" s="3">
        <f t="shared" si="49"/>
        <v>0</v>
      </c>
      <c r="S62">
        <v>536</v>
      </c>
      <c r="T62" s="3">
        <f t="shared" si="50"/>
        <v>3.8947827350675771E-2</v>
      </c>
      <c r="U62">
        <v>104</v>
      </c>
      <c r="V62" s="3">
        <f t="shared" si="51"/>
        <v>4.5296167247386762E-2</v>
      </c>
      <c r="W62">
        <v>96</v>
      </c>
      <c r="X62" s="3">
        <f t="shared" si="52"/>
        <v>3.4470377019748651E-2</v>
      </c>
      <c r="Y62">
        <v>209</v>
      </c>
      <c r="Z62" s="3">
        <f t="shared" si="53"/>
        <v>3.6417494336992505E-2</v>
      </c>
      <c r="AA62">
        <v>167</v>
      </c>
      <c r="AB62" s="3">
        <f t="shared" si="54"/>
        <v>5.8989756269869305E-2</v>
      </c>
      <c r="AC62">
        <v>203</v>
      </c>
      <c r="AD62" s="3">
        <f t="shared" si="55"/>
        <v>3.347073371805441E-2</v>
      </c>
      <c r="AE62">
        <v>30</v>
      </c>
      <c r="AF62" s="3">
        <f t="shared" si="56"/>
        <v>3.1678986272439279E-2</v>
      </c>
      <c r="AG62">
        <v>464</v>
      </c>
      <c r="AH62" s="3">
        <f t="shared" si="57"/>
        <v>2.2952117134942621E-2</v>
      </c>
      <c r="AI62">
        <v>2204</v>
      </c>
      <c r="AJ62" s="3">
        <f t="shared" si="58"/>
        <v>5.3674930592762161E-2</v>
      </c>
      <c r="AK62">
        <v>177</v>
      </c>
      <c r="AL62" s="3">
        <f t="shared" si="59"/>
        <v>2.9638312123241795E-2</v>
      </c>
      <c r="AM62">
        <v>105</v>
      </c>
      <c r="AN62" s="3">
        <f t="shared" si="60"/>
        <v>1.416239546803345E-2</v>
      </c>
      <c r="AO62">
        <v>54</v>
      </c>
      <c r="AP62" s="3">
        <f t="shared" si="61"/>
        <v>1.4236751911415766E-2</v>
      </c>
      <c r="AQ62">
        <v>75</v>
      </c>
      <c r="AR62" s="3">
        <f t="shared" si="62"/>
        <v>7.7559462254395042E-2</v>
      </c>
      <c r="AS62">
        <v>0</v>
      </c>
      <c r="AT62" s="3">
        <f t="shared" si="63"/>
        <v>0</v>
      </c>
      <c r="AU62">
        <v>0</v>
      </c>
      <c r="AV62" s="3">
        <f t="shared" si="64"/>
        <v>0</v>
      </c>
      <c r="AW62">
        <v>0</v>
      </c>
      <c r="AX62" s="3">
        <f t="shared" si="65"/>
        <v>0</v>
      </c>
      <c r="AY62">
        <v>2</v>
      </c>
      <c r="AZ62" s="3">
        <f t="shared" si="66"/>
        <v>2.4691358024691357E-2</v>
      </c>
      <c r="BA62">
        <v>0</v>
      </c>
      <c r="BB62" s="3">
        <f t="shared" si="67"/>
        <v>0</v>
      </c>
      <c r="BC62">
        <v>12</v>
      </c>
      <c r="BD62" s="3">
        <f t="shared" si="68"/>
        <v>2.7397260273972601E-2</v>
      </c>
      <c r="BE62">
        <v>2</v>
      </c>
      <c r="BF62" s="3">
        <f t="shared" si="69"/>
        <v>4.3478260869565216E-2</v>
      </c>
      <c r="BG62">
        <v>2820000</v>
      </c>
      <c r="BH62" s="3">
        <f t="shared" si="70"/>
        <v>0.27893175074183979</v>
      </c>
      <c r="BI62">
        <v>700000</v>
      </c>
      <c r="BJ62" s="3">
        <f t="shared" si="71"/>
        <v>3.6842105263157891E-2</v>
      </c>
      <c r="BK62">
        <v>98000000000</v>
      </c>
      <c r="BL62" s="3">
        <f t="shared" si="72"/>
        <v>0.32666666666666666</v>
      </c>
      <c r="BM62">
        <v>5242000</v>
      </c>
      <c r="BN62" s="3">
        <f t="shared" si="73"/>
        <v>6.5045290979029655E-3</v>
      </c>
      <c r="BO62">
        <v>61</v>
      </c>
      <c r="BP62" s="3">
        <f t="shared" si="74"/>
        <v>9.5119288944331831E-3</v>
      </c>
      <c r="BQ62">
        <v>6</v>
      </c>
      <c r="BR62" s="3">
        <f t="shared" si="75"/>
        <v>0.25</v>
      </c>
      <c r="BS62">
        <v>4080</v>
      </c>
      <c r="BT62" s="3">
        <f t="shared" si="76"/>
        <v>6.194385275581824E-4</v>
      </c>
      <c r="BU62">
        <v>0</v>
      </c>
      <c r="BV62" s="3">
        <f t="shared" si="77"/>
        <v>0</v>
      </c>
      <c r="BW62">
        <v>43</v>
      </c>
      <c r="BX62" s="3">
        <f t="shared" si="78"/>
        <v>3.1821209205949827E-3</v>
      </c>
      <c r="BY62">
        <v>14375</v>
      </c>
      <c r="BZ62" s="3">
        <f t="shared" si="79"/>
        <v>2.4455597141884996E-2</v>
      </c>
      <c r="CA62" s="1">
        <v>220400</v>
      </c>
      <c r="CB62">
        <v>84930</v>
      </c>
      <c r="CC62" s="3">
        <f t="shared" si="80"/>
        <v>2.7467658473479949E-2</v>
      </c>
      <c r="CD62">
        <v>667200</v>
      </c>
      <c r="CE62" s="3">
        <f t="shared" si="81"/>
        <v>3.1368124118476726E-2</v>
      </c>
      <c r="CF62" s="2">
        <v>83600</v>
      </c>
      <c r="CG62" s="3">
        <f t="shared" si="82"/>
        <v>0.995110608447348</v>
      </c>
      <c r="CH62" s="2">
        <v>1318</v>
      </c>
      <c r="CI62" s="3">
        <f t="shared" si="83"/>
        <v>0.99347783056215355</v>
      </c>
      <c r="CJ62" s="2">
        <v>1066</v>
      </c>
      <c r="CK62" s="3">
        <f t="shared" si="84"/>
        <v>0.95253150465333747</v>
      </c>
      <c r="CL62" s="1" t="s">
        <v>77</v>
      </c>
    </row>
    <row r="63" spans="1:90" x14ac:dyDescent="0.3">
      <c r="A63" t="s">
        <v>168</v>
      </c>
      <c r="B63" t="s">
        <v>169</v>
      </c>
      <c r="C63">
        <v>61</v>
      </c>
      <c r="D63" s="9">
        <f t="shared" si="43"/>
        <v>112</v>
      </c>
      <c r="E63" s="9">
        <f t="shared" si="0"/>
        <v>3.0878947938690215</v>
      </c>
      <c r="F63" s="1">
        <v>10969649</v>
      </c>
      <c r="G63">
        <v>5000000</v>
      </c>
      <c r="H63" s="3">
        <f t="shared" si="44"/>
        <v>6.6666666666666671E-3</v>
      </c>
      <c r="I63">
        <v>3780000</v>
      </c>
      <c r="J63" s="3">
        <f t="shared" si="45"/>
        <v>6.1066235864297254E-3</v>
      </c>
      <c r="K63">
        <v>215000</v>
      </c>
      <c r="L63" s="3">
        <f t="shared" si="46"/>
        <v>9.3886462882096077E-3</v>
      </c>
      <c r="M63">
        <v>81900</v>
      </c>
      <c r="N63" s="3">
        <f t="shared" si="47"/>
        <v>1.2707525213343677E-2</v>
      </c>
      <c r="O63">
        <v>44800</v>
      </c>
      <c r="P63" s="3">
        <f t="shared" si="48"/>
        <v>1.9823008849557521E-2</v>
      </c>
      <c r="Q63">
        <v>37100</v>
      </c>
      <c r="R63" s="3">
        <f t="shared" si="49"/>
        <v>6.7454545454545458E-3</v>
      </c>
      <c r="S63">
        <v>85</v>
      </c>
      <c r="T63" s="3">
        <f t="shared" si="50"/>
        <v>6.1764278447900018E-3</v>
      </c>
      <c r="U63">
        <v>0</v>
      </c>
      <c r="V63" s="3">
        <f t="shared" si="51"/>
        <v>0</v>
      </c>
      <c r="W63">
        <v>0</v>
      </c>
      <c r="X63" s="3">
        <f t="shared" si="52"/>
        <v>0</v>
      </c>
      <c r="Y63">
        <v>36</v>
      </c>
      <c r="Z63" s="3">
        <f t="shared" si="53"/>
        <v>6.2728698379508627E-3</v>
      </c>
      <c r="AA63">
        <v>39</v>
      </c>
      <c r="AB63" s="3">
        <f t="shared" si="54"/>
        <v>1.377605086541858E-2</v>
      </c>
      <c r="AC63">
        <v>38</v>
      </c>
      <c r="AD63" s="3">
        <f t="shared" si="55"/>
        <v>6.2654575432811209E-3</v>
      </c>
      <c r="AE63">
        <v>0</v>
      </c>
      <c r="AF63" s="3">
        <f t="shared" si="56"/>
        <v>0</v>
      </c>
      <c r="AG63">
        <v>54</v>
      </c>
      <c r="AH63" s="3">
        <f t="shared" si="57"/>
        <v>2.671151563118322E-3</v>
      </c>
      <c r="AI63">
        <v>137</v>
      </c>
      <c r="AJ63" s="3">
        <f t="shared" si="58"/>
        <v>3.3364180994593542E-3</v>
      </c>
      <c r="AK63">
        <v>0</v>
      </c>
      <c r="AL63" s="3">
        <f t="shared" si="59"/>
        <v>0</v>
      </c>
      <c r="AM63">
        <v>86</v>
      </c>
      <c r="AN63" s="3">
        <f t="shared" si="60"/>
        <v>1.1599676288103588E-2</v>
      </c>
      <c r="AO63">
        <v>0</v>
      </c>
      <c r="AP63" s="3">
        <f t="shared" si="61"/>
        <v>0</v>
      </c>
      <c r="AQ63">
        <v>173</v>
      </c>
      <c r="AR63" s="3">
        <f t="shared" si="62"/>
        <v>0.17890382626680454</v>
      </c>
      <c r="AS63">
        <v>0</v>
      </c>
      <c r="AT63" s="3">
        <f t="shared" si="63"/>
        <v>0</v>
      </c>
      <c r="AU63">
        <v>0</v>
      </c>
      <c r="AV63" s="3">
        <f t="shared" si="64"/>
        <v>0</v>
      </c>
      <c r="AW63">
        <v>0</v>
      </c>
      <c r="AX63" s="3">
        <f t="shared" si="65"/>
        <v>0</v>
      </c>
      <c r="AY63">
        <v>0</v>
      </c>
      <c r="AZ63" s="3">
        <f t="shared" si="66"/>
        <v>0</v>
      </c>
      <c r="BA63">
        <v>0</v>
      </c>
      <c r="BB63" s="3">
        <f t="shared" si="67"/>
        <v>0</v>
      </c>
      <c r="BC63">
        <v>11</v>
      </c>
      <c r="BD63" s="3">
        <f t="shared" si="68"/>
        <v>2.5114155251141551E-2</v>
      </c>
      <c r="BE63">
        <v>0</v>
      </c>
      <c r="BF63" s="3">
        <f t="shared" si="69"/>
        <v>0</v>
      </c>
      <c r="BG63">
        <v>51130</v>
      </c>
      <c r="BH63" s="3">
        <f t="shared" si="70"/>
        <v>5.0573689416419385E-3</v>
      </c>
      <c r="BI63">
        <v>68000</v>
      </c>
      <c r="BJ63" s="3">
        <f t="shared" si="71"/>
        <v>3.5789473684210526E-3</v>
      </c>
      <c r="BK63">
        <v>209800000</v>
      </c>
      <c r="BL63" s="3">
        <f t="shared" si="72"/>
        <v>6.9933333333333338E-4</v>
      </c>
      <c r="BM63">
        <v>4993000</v>
      </c>
      <c r="BN63" s="3">
        <f t="shared" si="73"/>
        <v>6.1955577615088724E-3</v>
      </c>
      <c r="BO63">
        <v>18</v>
      </c>
      <c r="BP63" s="3">
        <f t="shared" si="74"/>
        <v>2.8067986901606111E-3</v>
      </c>
      <c r="BQ63">
        <v>1</v>
      </c>
      <c r="BR63" s="3">
        <f t="shared" si="75"/>
        <v>4.1666666666666664E-2</v>
      </c>
      <c r="BS63">
        <v>80488</v>
      </c>
      <c r="BT63" s="3">
        <f t="shared" si="76"/>
        <v>1.221994318777034E-2</v>
      </c>
      <c r="BU63">
        <v>3652</v>
      </c>
      <c r="BV63" s="3">
        <f t="shared" si="77"/>
        <v>1.6246129755507314E-2</v>
      </c>
      <c r="BW63">
        <v>855</v>
      </c>
      <c r="BX63" s="3">
        <f t="shared" si="78"/>
        <v>6.3272404351365358E-2</v>
      </c>
      <c r="BY63">
        <v>315</v>
      </c>
      <c r="BZ63" s="3">
        <f t="shared" si="79"/>
        <v>5.3589656345695818E-4</v>
      </c>
      <c r="CA63" s="1">
        <v>11830</v>
      </c>
      <c r="CB63">
        <v>11000</v>
      </c>
      <c r="CC63" s="3">
        <f t="shared" si="80"/>
        <v>3.5575679172056922E-3</v>
      </c>
      <c r="CD63">
        <v>78350</v>
      </c>
      <c r="CE63" s="3">
        <f t="shared" si="81"/>
        <v>3.683591913493183E-3</v>
      </c>
      <c r="CF63" s="2">
        <v>1098581</v>
      </c>
      <c r="CG63" s="3">
        <f t="shared" si="82"/>
        <v>0.93574889161119601</v>
      </c>
      <c r="CH63" s="2">
        <v>0</v>
      </c>
      <c r="CI63" s="3">
        <f t="shared" si="83"/>
        <v>1</v>
      </c>
      <c r="CJ63" s="2">
        <v>7252</v>
      </c>
      <c r="CK63" s="3">
        <f t="shared" si="84"/>
        <v>0.6770717370975643</v>
      </c>
      <c r="CL63" s="1">
        <v>10000</v>
      </c>
    </row>
    <row r="64" spans="1:90" x14ac:dyDescent="0.3">
      <c r="A64" t="s">
        <v>170</v>
      </c>
      <c r="B64" t="s">
        <v>171</v>
      </c>
      <c r="C64">
        <v>62</v>
      </c>
      <c r="D64" s="9">
        <f t="shared" si="43"/>
        <v>57</v>
      </c>
      <c r="E64" s="9">
        <f t="shared" si="0"/>
        <v>3.7299155250400693</v>
      </c>
      <c r="F64" s="1">
        <v>10833816</v>
      </c>
      <c r="G64">
        <v>5030000</v>
      </c>
      <c r="H64" s="3">
        <f t="shared" si="44"/>
        <v>6.7066666666666663E-3</v>
      </c>
      <c r="I64">
        <v>4122000</v>
      </c>
      <c r="J64" s="3">
        <f t="shared" si="45"/>
        <v>6.6591276252019388E-3</v>
      </c>
      <c r="K64">
        <v>117000</v>
      </c>
      <c r="L64" s="3">
        <f t="shared" si="46"/>
        <v>5.1091703056768559E-3</v>
      </c>
      <c r="M64">
        <v>268500</v>
      </c>
      <c r="N64" s="3">
        <f t="shared" si="47"/>
        <v>4.1660201706749417E-2</v>
      </c>
      <c r="O64">
        <v>35000</v>
      </c>
      <c r="P64" s="3">
        <f t="shared" si="48"/>
        <v>1.5486725663716814E-2</v>
      </c>
      <c r="Q64">
        <v>233500</v>
      </c>
      <c r="R64" s="3">
        <f t="shared" si="49"/>
        <v>4.2454545454545453E-2</v>
      </c>
      <c r="S64">
        <v>137</v>
      </c>
      <c r="T64" s="3">
        <f t="shared" si="50"/>
        <v>9.9549484086615316E-3</v>
      </c>
      <c r="U64">
        <v>64</v>
      </c>
      <c r="V64" s="3">
        <f t="shared" si="51"/>
        <v>2.7874564459930314E-2</v>
      </c>
      <c r="W64">
        <v>64</v>
      </c>
      <c r="X64" s="3">
        <f t="shared" si="52"/>
        <v>2.2980251346499104E-2</v>
      </c>
      <c r="Y64">
        <v>36</v>
      </c>
      <c r="Z64" s="3">
        <f t="shared" si="53"/>
        <v>6.2728698379508627E-3</v>
      </c>
      <c r="AA64">
        <v>27</v>
      </c>
      <c r="AB64" s="3">
        <f t="shared" si="54"/>
        <v>9.5372659837513248E-3</v>
      </c>
      <c r="AC64">
        <v>25</v>
      </c>
      <c r="AD64" s="3">
        <f t="shared" si="55"/>
        <v>4.1220115416323163E-3</v>
      </c>
      <c r="AE64">
        <v>0</v>
      </c>
      <c r="AF64" s="3">
        <f t="shared" si="56"/>
        <v>0</v>
      </c>
      <c r="AG64">
        <v>133</v>
      </c>
      <c r="AH64" s="3">
        <f t="shared" si="57"/>
        <v>6.5789473684210523E-3</v>
      </c>
      <c r="AI64">
        <v>1080</v>
      </c>
      <c r="AJ64" s="3">
        <f t="shared" si="58"/>
        <v>2.6301690127124834E-2</v>
      </c>
      <c r="AK64">
        <v>18</v>
      </c>
      <c r="AL64" s="3">
        <f t="shared" si="59"/>
        <v>3.0140656396517081E-3</v>
      </c>
      <c r="AM64">
        <v>60</v>
      </c>
      <c r="AN64" s="3">
        <f t="shared" si="60"/>
        <v>8.0927974103048288E-3</v>
      </c>
      <c r="AO64">
        <v>0</v>
      </c>
      <c r="AP64" s="3">
        <f t="shared" si="61"/>
        <v>0</v>
      </c>
      <c r="AQ64">
        <v>41</v>
      </c>
      <c r="AR64" s="3">
        <f t="shared" si="62"/>
        <v>4.2399172699069287E-2</v>
      </c>
      <c r="AS64">
        <v>0</v>
      </c>
      <c r="AT64" s="3">
        <f t="shared" si="63"/>
        <v>0</v>
      </c>
      <c r="AU64">
        <v>5</v>
      </c>
      <c r="AV64" s="3">
        <f t="shared" si="64"/>
        <v>9.8039215686274508E-2</v>
      </c>
      <c r="AW64">
        <v>0</v>
      </c>
      <c r="AX64" s="3">
        <f t="shared" si="65"/>
        <v>0</v>
      </c>
      <c r="AY64">
        <v>7</v>
      </c>
      <c r="AZ64" s="3">
        <f t="shared" si="66"/>
        <v>8.6419753086419748E-2</v>
      </c>
      <c r="BA64">
        <v>2</v>
      </c>
      <c r="BB64" s="3">
        <f t="shared" si="67"/>
        <v>2.6315789473684209E-2</v>
      </c>
      <c r="BC64">
        <v>18</v>
      </c>
      <c r="BD64" s="3">
        <f t="shared" si="68"/>
        <v>4.1095890410958902E-2</v>
      </c>
      <c r="BE64">
        <v>0</v>
      </c>
      <c r="BF64" s="3">
        <f t="shared" si="69"/>
        <v>0</v>
      </c>
      <c r="BG64">
        <v>500</v>
      </c>
      <c r="BH64" s="3">
        <f t="shared" si="70"/>
        <v>4.9455984174085062E-5</v>
      </c>
      <c r="BI64">
        <v>241000</v>
      </c>
      <c r="BJ64" s="3">
        <f t="shared" si="71"/>
        <v>1.2684210526315789E-2</v>
      </c>
      <c r="BK64">
        <v>0</v>
      </c>
      <c r="BL64" s="3">
        <f t="shared" si="72"/>
        <v>0</v>
      </c>
      <c r="BM64">
        <v>5167000</v>
      </c>
      <c r="BN64" s="3">
        <f t="shared" si="73"/>
        <v>6.4114654423625761E-3</v>
      </c>
      <c r="BO64">
        <v>109</v>
      </c>
      <c r="BP64" s="3">
        <f t="shared" si="74"/>
        <v>1.6996725401528145E-2</v>
      </c>
      <c r="BQ64">
        <v>4</v>
      </c>
      <c r="BR64" s="3">
        <f t="shared" si="75"/>
        <v>0.16666666666666666</v>
      </c>
      <c r="BS64">
        <v>82900</v>
      </c>
      <c r="BT64" s="3">
        <f t="shared" si="76"/>
        <v>1.258614067023856E-2</v>
      </c>
      <c r="BU64">
        <v>3319</v>
      </c>
      <c r="BV64" s="3">
        <f t="shared" si="77"/>
        <v>1.4764760311754867E-2</v>
      </c>
      <c r="BW64">
        <v>64</v>
      </c>
      <c r="BX64" s="3">
        <f t="shared" si="78"/>
        <v>4.7361799748390438E-3</v>
      </c>
      <c r="BY64">
        <v>3800</v>
      </c>
      <c r="BZ64" s="3">
        <f t="shared" si="79"/>
        <v>6.4647839401156858E-3</v>
      </c>
      <c r="CA64" s="1">
        <v>449000</v>
      </c>
      <c r="CB64">
        <v>19400</v>
      </c>
      <c r="CC64" s="3">
        <f t="shared" si="80"/>
        <v>6.274256144890039E-3</v>
      </c>
      <c r="CD64">
        <v>297100</v>
      </c>
      <c r="CE64" s="3">
        <f t="shared" si="81"/>
        <v>1.3968030089327692E-2</v>
      </c>
      <c r="CF64" s="2">
        <v>92090</v>
      </c>
      <c r="CG64" s="3">
        <f t="shared" si="82"/>
        <v>0.99461406617124726</v>
      </c>
      <c r="CH64" s="2">
        <v>1793</v>
      </c>
      <c r="CI64" s="3">
        <f t="shared" si="83"/>
        <v>0.99112727632620745</v>
      </c>
      <c r="CJ64" s="2">
        <v>1224</v>
      </c>
      <c r="CK64" s="3">
        <f t="shared" si="84"/>
        <v>0.94549583648750946</v>
      </c>
      <c r="CL64" s="1">
        <v>210</v>
      </c>
    </row>
    <row r="65" spans="1:90" x14ac:dyDescent="0.3">
      <c r="A65" t="s">
        <v>172</v>
      </c>
      <c r="B65" t="s">
        <v>173</v>
      </c>
      <c r="C65">
        <v>63</v>
      </c>
      <c r="D65" s="9">
        <f t="shared" si="43"/>
        <v>74</v>
      </c>
      <c r="E65" s="9">
        <f t="shared" si="0"/>
        <v>3.4115410854804376</v>
      </c>
      <c r="F65" s="1">
        <v>9874784</v>
      </c>
      <c r="G65">
        <v>4650000</v>
      </c>
      <c r="H65" s="3">
        <f t="shared" si="44"/>
        <v>6.1999999999999998E-3</v>
      </c>
      <c r="I65">
        <v>3800000</v>
      </c>
      <c r="J65" s="3">
        <f t="shared" si="45"/>
        <v>6.1389337641357027E-3</v>
      </c>
      <c r="K65">
        <v>115000</v>
      </c>
      <c r="L65" s="3">
        <f t="shared" si="46"/>
        <v>5.0218340611353713E-3</v>
      </c>
      <c r="M65">
        <v>77250</v>
      </c>
      <c r="N65" s="3">
        <f t="shared" si="47"/>
        <v>1.1986035686578743E-2</v>
      </c>
      <c r="O65">
        <v>23250</v>
      </c>
      <c r="P65" s="3">
        <f t="shared" si="48"/>
        <v>1.0287610619469027E-2</v>
      </c>
      <c r="Q65">
        <v>54000</v>
      </c>
      <c r="R65" s="3">
        <f t="shared" si="49"/>
        <v>9.8181818181818179E-3</v>
      </c>
      <c r="S65">
        <v>33</v>
      </c>
      <c r="T65" s="3">
        <f t="shared" si="50"/>
        <v>2.3979072809184711E-3</v>
      </c>
      <c r="U65">
        <v>11</v>
      </c>
      <c r="V65" s="3">
        <f t="shared" si="51"/>
        <v>4.7909407665505223E-3</v>
      </c>
      <c r="W65">
        <v>11</v>
      </c>
      <c r="X65" s="3">
        <f t="shared" si="52"/>
        <v>3.9497307001795335E-3</v>
      </c>
      <c r="Y65">
        <v>18</v>
      </c>
      <c r="Z65" s="3">
        <f t="shared" si="53"/>
        <v>3.1364349189754314E-3</v>
      </c>
      <c r="AA65">
        <v>2</v>
      </c>
      <c r="AB65" s="3">
        <f t="shared" si="54"/>
        <v>7.0646414694454254E-4</v>
      </c>
      <c r="AC65">
        <v>16</v>
      </c>
      <c r="AD65" s="3">
        <f t="shared" si="55"/>
        <v>2.6380873866446827E-3</v>
      </c>
      <c r="AE65">
        <v>0</v>
      </c>
      <c r="AF65" s="3">
        <f t="shared" si="56"/>
        <v>0</v>
      </c>
      <c r="AG65">
        <v>32</v>
      </c>
      <c r="AH65" s="3">
        <f t="shared" si="57"/>
        <v>1.5829046299960427E-3</v>
      </c>
      <c r="AI65">
        <v>1123</v>
      </c>
      <c r="AJ65" s="3">
        <f t="shared" si="58"/>
        <v>2.7348887048852955E-2</v>
      </c>
      <c r="AK65">
        <v>0</v>
      </c>
      <c r="AL65" s="3">
        <f t="shared" si="59"/>
        <v>0</v>
      </c>
      <c r="AM65">
        <v>300</v>
      </c>
      <c r="AN65" s="3">
        <f t="shared" si="60"/>
        <v>4.0463987051524146E-2</v>
      </c>
      <c r="AO65">
        <v>65</v>
      </c>
      <c r="AP65" s="3">
        <f t="shared" si="61"/>
        <v>1.7136831004481941E-2</v>
      </c>
      <c r="AQ65">
        <v>0</v>
      </c>
      <c r="AR65" s="3">
        <f t="shared" si="62"/>
        <v>0</v>
      </c>
      <c r="AS65">
        <v>0</v>
      </c>
      <c r="AT65" s="3">
        <f t="shared" si="63"/>
        <v>0</v>
      </c>
      <c r="AU65">
        <v>0</v>
      </c>
      <c r="AV65" s="3">
        <f t="shared" si="64"/>
        <v>0</v>
      </c>
      <c r="AW65">
        <v>0</v>
      </c>
      <c r="AX65" s="3">
        <f t="shared" si="65"/>
        <v>0</v>
      </c>
      <c r="AY65">
        <v>0</v>
      </c>
      <c r="AZ65" s="3">
        <f t="shared" si="66"/>
        <v>0</v>
      </c>
      <c r="BA65">
        <v>0</v>
      </c>
      <c r="BB65" s="3">
        <f t="shared" si="67"/>
        <v>0</v>
      </c>
      <c r="BC65">
        <v>0</v>
      </c>
      <c r="BD65" s="3">
        <f t="shared" si="68"/>
        <v>0</v>
      </c>
      <c r="BE65">
        <v>0</v>
      </c>
      <c r="BF65" s="3">
        <f t="shared" si="69"/>
        <v>0</v>
      </c>
      <c r="BG65">
        <v>11410</v>
      </c>
      <c r="BH65" s="3">
        <f t="shared" si="70"/>
        <v>1.1285855588526212E-3</v>
      </c>
      <c r="BI65">
        <v>135000</v>
      </c>
      <c r="BJ65" s="3">
        <f t="shared" si="71"/>
        <v>7.1052631578947369E-3</v>
      </c>
      <c r="BK65">
        <v>27190000</v>
      </c>
      <c r="BL65" s="3">
        <f t="shared" si="72"/>
        <v>9.0633333333333332E-5</v>
      </c>
      <c r="BM65">
        <v>4564000</v>
      </c>
      <c r="BN65" s="3">
        <f t="shared" si="73"/>
        <v>5.6632336518178438E-3</v>
      </c>
      <c r="BO65">
        <v>0</v>
      </c>
      <c r="BP65" s="3">
        <f t="shared" si="74"/>
        <v>0</v>
      </c>
      <c r="BQ65">
        <v>6</v>
      </c>
      <c r="BR65" s="3">
        <f t="shared" si="75"/>
        <v>0.25</v>
      </c>
      <c r="BS65">
        <v>199567</v>
      </c>
      <c r="BT65" s="3">
        <f t="shared" si="76"/>
        <v>3.0298894271863674E-2</v>
      </c>
      <c r="BU65">
        <v>8057</v>
      </c>
      <c r="BV65" s="3">
        <f t="shared" si="77"/>
        <v>3.5842022847788174E-2</v>
      </c>
      <c r="BW65">
        <v>41</v>
      </c>
      <c r="BX65" s="3">
        <f t="shared" si="78"/>
        <v>3.0341152963812624E-3</v>
      </c>
      <c r="BY65">
        <v>1040</v>
      </c>
      <c r="BZ65" s="3">
        <f t="shared" si="79"/>
        <v>1.7693092888737666E-3</v>
      </c>
      <c r="CA65" s="1">
        <v>131200</v>
      </c>
      <c r="CB65">
        <v>31620</v>
      </c>
      <c r="CC65" s="3">
        <f t="shared" si="80"/>
        <v>1.0226390685640362E-2</v>
      </c>
      <c r="CD65">
        <v>267600</v>
      </c>
      <c r="CE65" s="3">
        <f t="shared" si="81"/>
        <v>1.2581100141043723E-2</v>
      </c>
      <c r="CF65" s="2">
        <v>103000</v>
      </c>
      <c r="CG65" s="3">
        <f t="shared" si="82"/>
        <v>0.99397598887651728</v>
      </c>
      <c r="CH65" s="2">
        <v>0</v>
      </c>
      <c r="CI65" s="3">
        <f t="shared" si="83"/>
        <v>1</v>
      </c>
      <c r="CJ65" s="2">
        <v>2106</v>
      </c>
      <c r="CK65" s="3">
        <f t="shared" si="84"/>
        <v>0.90622077748586183</v>
      </c>
      <c r="CL65" s="1">
        <v>1622</v>
      </c>
    </row>
    <row r="66" spans="1:90" x14ac:dyDescent="0.3">
      <c r="A66" t="s">
        <v>174</v>
      </c>
      <c r="B66" t="s">
        <v>175</v>
      </c>
      <c r="C66">
        <v>64</v>
      </c>
      <c r="D66" s="9">
        <f t="shared" si="43"/>
        <v>59</v>
      </c>
      <c r="E66" s="9">
        <f t="shared" si="0"/>
        <v>3.7096904056007891</v>
      </c>
      <c r="F66" s="1">
        <v>27392779</v>
      </c>
      <c r="G66">
        <v>11040000</v>
      </c>
      <c r="H66" s="3">
        <f t="shared" si="44"/>
        <v>1.472E-2</v>
      </c>
      <c r="I66">
        <v>8175000</v>
      </c>
      <c r="J66" s="3">
        <f t="shared" si="45"/>
        <v>1.3206785137318254E-2</v>
      </c>
      <c r="K66">
        <v>565000</v>
      </c>
      <c r="L66" s="3">
        <f t="shared" si="46"/>
        <v>2.4672489082969432E-2</v>
      </c>
      <c r="M66">
        <v>43500</v>
      </c>
      <c r="N66" s="3">
        <f t="shared" si="47"/>
        <v>6.749418153607448E-3</v>
      </c>
      <c r="O66">
        <v>43500</v>
      </c>
      <c r="P66" s="3">
        <f t="shared" si="48"/>
        <v>1.924778761061947E-2</v>
      </c>
      <c r="Q66">
        <v>0</v>
      </c>
      <c r="R66" s="3">
        <f t="shared" si="49"/>
        <v>0</v>
      </c>
      <c r="S66">
        <v>169</v>
      </c>
      <c r="T66" s="3">
        <f t="shared" si="50"/>
        <v>1.2280191832582473E-2</v>
      </c>
      <c r="U66">
        <v>77</v>
      </c>
      <c r="V66" s="3">
        <f t="shared" si="51"/>
        <v>3.3536585365853661E-2</v>
      </c>
      <c r="W66">
        <v>77</v>
      </c>
      <c r="X66" s="3">
        <f t="shared" si="52"/>
        <v>2.7648114901256734E-2</v>
      </c>
      <c r="Y66">
        <v>56</v>
      </c>
      <c r="Z66" s="3">
        <f t="shared" si="53"/>
        <v>9.7577975257013422E-3</v>
      </c>
      <c r="AA66">
        <v>21</v>
      </c>
      <c r="AB66" s="3">
        <f t="shared" si="54"/>
        <v>7.4178735429176971E-3</v>
      </c>
      <c r="AC66">
        <v>61</v>
      </c>
      <c r="AD66" s="3">
        <f t="shared" si="55"/>
        <v>1.0057708161582853E-2</v>
      </c>
      <c r="AE66">
        <v>14</v>
      </c>
      <c r="AF66" s="3">
        <f t="shared" si="56"/>
        <v>1.4783526927138331E-2</v>
      </c>
      <c r="AG66">
        <v>826</v>
      </c>
      <c r="AH66" s="3">
        <f t="shared" si="57"/>
        <v>4.0858725761772852E-2</v>
      </c>
      <c r="AI66">
        <v>3007</v>
      </c>
      <c r="AJ66" s="3">
        <f t="shared" si="58"/>
        <v>7.3230724270615166E-2</v>
      </c>
      <c r="AK66">
        <v>25</v>
      </c>
      <c r="AL66" s="3">
        <f t="shared" si="59"/>
        <v>4.1862022772940393E-3</v>
      </c>
      <c r="AM66">
        <v>280</v>
      </c>
      <c r="AN66" s="3">
        <f t="shared" si="60"/>
        <v>3.7766387914755867E-2</v>
      </c>
      <c r="AO66">
        <v>423</v>
      </c>
      <c r="AP66" s="3">
        <f t="shared" si="61"/>
        <v>0.11152122330609017</v>
      </c>
      <c r="AQ66">
        <v>30</v>
      </c>
      <c r="AR66" s="3">
        <f t="shared" si="62"/>
        <v>3.1023784901758014E-2</v>
      </c>
      <c r="AS66">
        <v>0</v>
      </c>
      <c r="AT66" s="3">
        <f t="shared" si="63"/>
        <v>0</v>
      </c>
      <c r="AU66">
        <v>0</v>
      </c>
      <c r="AV66" s="3">
        <f t="shared" si="64"/>
        <v>0</v>
      </c>
      <c r="AW66">
        <v>0</v>
      </c>
      <c r="AX66" s="3">
        <f t="shared" si="65"/>
        <v>0</v>
      </c>
      <c r="AY66">
        <v>2</v>
      </c>
      <c r="AZ66" s="3">
        <f t="shared" si="66"/>
        <v>2.4691358024691357E-2</v>
      </c>
      <c r="BA66">
        <v>0</v>
      </c>
      <c r="BB66" s="3">
        <f t="shared" si="67"/>
        <v>0</v>
      </c>
      <c r="BC66">
        <v>23</v>
      </c>
      <c r="BD66" s="3">
        <f t="shared" si="68"/>
        <v>5.2511415525114152E-2</v>
      </c>
      <c r="BE66">
        <v>3</v>
      </c>
      <c r="BF66" s="3">
        <f t="shared" si="69"/>
        <v>6.5217391304347824E-2</v>
      </c>
      <c r="BG66">
        <v>125100</v>
      </c>
      <c r="BH66" s="3">
        <f t="shared" si="70"/>
        <v>1.2373887240356082E-2</v>
      </c>
      <c r="BI66">
        <v>145000</v>
      </c>
      <c r="BJ66" s="3">
        <f t="shared" si="71"/>
        <v>7.6315789473684207E-3</v>
      </c>
      <c r="BK66">
        <v>3000000000</v>
      </c>
      <c r="BL66" s="3">
        <f t="shared" si="72"/>
        <v>0.01</v>
      </c>
      <c r="BM66">
        <v>7470000</v>
      </c>
      <c r="BN66" s="3">
        <f t="shared" si="73"/>
        <v>9.2691400918228067E-3</v>
      </c>
      <c r="BO66">
        <v>5</v>
      </c>
      <c r="BP66" s="3">
        <f t="shared" si="74"/>
        <v>7.7966630282239198E-4</v>
      </c>
      <c r="BQ66">
        <v>3</v>
      </c>
      <c r="BR66" s="3">
        <f t="shared" si="75"/>
        <v>0.125</v>
      </c>
      <c r="BS66">
        <v>71300</v>
      </c>
      <c r="BT66" s="3">
        <f t="shared" si="76"/>
        <v>1.0824991915416277E-2</v>
      </c>
      <c r="BU66">
        <v>0</v>
      </c>
      <c r="BV66" s="3">
        <f t="shared" si="77"/>
        <v>0</v>
      </c>
      <c r="BW66">
        <v>57</v>
      </c>
      <c r="BX66" s="3">
        <f t="shared" si="78"/>
        <v>4.2181602900910236E-3</v>
      </c>
      <c r="BY66">
        <v>1440</v>
      </c>
      <c r="BZ66" s="3">
        <f t="shared" si="79"/>
        <v>2.4498128615175231E-3</v>
      </c>
      <c r="CA66" s="1">
        <v>7661</v>
      </c>
      <c r="CB66">
        <v>639</v>
      </c>
      <c r="CC66" s="3">
        <f t="shared" si="80"/>
        <v>2.0666235446313065E-4</v>
      </c>
      <c r="CD66">
        <v>73450</v>
      </c>
      <c r="CE66" s="3">
        <f t="shared" si="81"/>
        <v>3.45322049835449E-3</v>
      </c>
      <c r="CF66" s="2">
        <v>527968</v>
      </c>
      <c r="CG66" s="3">
        <f t="shared" si="82"/>
        <v>0.96912150383647633</v>
      </c>
      <c r="CH66" s="2">
        <v>1906</v>
      </c>
      <c r="CI66" s="3">
        <f t="shared" si="83"/>
        <v>0.99056809184481398</v>
      </c>
      <c r="CJ66" s="2">
        <v>1601</v>
      </c>
      <c r="CK66" s="3">
        <f t="shared" si="84"/>
        <v>0.92870819788929959</v>
      </c>
      <c r="CL66" s="1" t="s">
        <v>77</v>
      </c>
    </row>
    <row r="67" spans="1:90" x14ac:dyDescent="0.3">
      <c r="A67" t="s">
        <v>176</v>
      </c>
      <c r="B67" t="s">
        <v>177</v>
      </c>
      <c r="C67">
        <v>65</v>
      </c>
      <c r="D67" s="9">
        <f t="shared" si="43"/>
        <v>36</v>
      </c>
      <c r="E67" s="9">
        <f t="shared" ref="E67:E130" si="85">SUM(H67,J67,L67,N67,,P67,R67,T67,V67,X67,Z67,AB67,AD67,AF67,AH67,AJ67,AL67,AN67,AP67,AR67,AT67,AV67,AX67,AZ67,BB67,BD67,BF67,BH67,BJ67,BL67,BN67,BP67,BR67,BT67,BV67,BX67,BZ67,CC67,CE67,CG67,CI67,CK67)</f>
        <v>4.3257453835162121</v>
      </c>
      <c r="F67" s="1">
        <v>5781728</v>
      </c>
      <c r="G67">
        <v>1260000</v>
      </c>
      <c r="H67" s="3">
        <f t="shared" si="44"/>
        <v>1.6800000000000001E-3</v>
      </c>
      <c r="I67">
        <v>2110000</v>
      </c>
      <c r="J67" s="3">
        <f t="shared" si="45"/>
        <v>3.4087237479806139E-3</v>
      </c>
      <c r="K67">
        <v>53000</v>
      </c>
      <c r="L67" s="3">
        <f t="shared" si="46"/>
        <v>2.3144104803493452E-3</v>
      </c>
      <c r="M67">
        <v>504500</v>
      </c>
      <c r="N67" s="3">
        <f t="shared" si="47"/>
        <v>7.8277734678044997E-2</v>
      </c>
      <c r="O67">
        <v>72000</v>
      </c>
      <c r="P67" s="3">
        <f t="shared" si="48"/>
        <v>3.1858407079646017E-2</v>
      </c>
      <c r="Q67">
        <v>432500</v>
      </c>
      <c r="R67" s="3">
        <f t="shared" si="49"/>
        <v>7.8636363636363643E-2</v>
      </c>
      <c r="S67">
        <v>226</v>
      </c>
      <c r="T67" s="3">
        <f t="shared" si="50"/>
        <v>1.642203168144165E-2</v>
      </c>
      <c r="U67">
        <v>92</v>
      </c>
      <c r="V67" s="3">
        <f t="shared" si="51"/>
        <v>4.0069686411149823E-2</v>
      </c>
      <c r="W67">
        <v>119</v>
      </c>
      <c r="X67" s="3">
        <f t="shared" si="52"/>
        <v>4.2728904847396769E-2</v>
      </c>
      <c r="Y67">
        <v>63</v>
      </c>
      <c r="Z67" s="3">
        <f t="shared" si="53"/>
        <v>1.097752221641401E-2</v>
      </c>
      <c r="AA67">
        <v>36</v>
      </c>
      <c r="AB67" s="3">
        <f t="shared" si="54"/>
        <v>1.2716354645001766E-2</v>
      </c>
      <c r="AC67">
        <v>76</v>
      </c>
      <c r="AD67" s="3">
        <f t="shared" si="55"/>
        <v>1.2530915086562242E-2</v>
      </c>
      <c r="AE67">
        <v>17</v>
      </c>
      <c r="AF67" s="3">
        <f t="shared" si="56"/>
        <v>1.7951425554382259E-2</v>
      </c>
      <c r="AG67">
        <v>196</v>
      </c>
      <c r="AH67" s="3">
        <f t="shared" si="57"/>
        <v>9.6952908587257611E-3</v>
      </c>
      <c r="AI67">
        <v>2192</v>
      </c>
      <c r="AJ67" s="3">
        <f t="shared" si="58"/>
        <v>5.3382689591349668E-2</v>
      </c>
      <c r="AK67">
        <v>48</v>
      </c>
      <c r="AL67" s="3">
        <f t="shared" si="59"/>
        <v>8.0375083724045539E-3</v>
      </c>
      <c r="AM67">
        <v>262</v>
      </c>
      <c r="AN67" s="3">
        <f t="shared" si="60"/>
        <v>3.5338548691664418E-2</v>
      </c>
      <c r="AO67">
        <v>18</v>
      </c>
      <c r="AP67" s="3">
        <f t="shared" si="61"/>
        <v>4.7455839704719218E-3</v>
      </c>
      <c r="AQ67">
        <v>40</v>
      </c>
      <c r="AR67" s="3">
        <f t="shared" si="62"/>
        <v>4.1365046535677352E-2</v>
      </c>
      <c r="AS67">
        <v>0</v>
      </c>
      <c r="AT67" s="3">
        <f t="shared" si="63"/>
        <v>0</v>
      </c>
      <c r="AU67">
        <v>6</v>
      </c>
      <c r="AV67" s="3">
        <f t="shared" si="64"/>
        <v>0.11764705882352941</v>
      </c>
      <c r="AW67">
        <v>0</v>
      </c>
      <c r="AX67" s="3">
        <f t="shared" si="65"/>
        <v>0</v>
      </c>
      <c r="AY67">
        <v>6</v>
      </c>
      <c r="AZ67" s="3">
        <f t="shared" si="66"/>
        <v>7.407407407407407E-2</v>
      </c>
      <c r="BA67">
        <v>6</v>
      </c>
      <c r="BB67" s="3">
        <f t="shared" si="67"/>
        <v>7.8947368421052627E-2</v>
      </c>
      <c r="BC67">
        <v>11</v>
      </c>
      <c r="BD67" s="3">
        <f t="shared" si="68"/>
        <v>2.5114155251141551E-2</v>
      </c>
      <c r="BE67">
        <v>2</v>
      </c>
      <c r="BF67" s="3">
        <f t="shared" si="69"/>
        <v>4.3478260869565216E-2</v>
      </c>
      <c r="BG67">
        <v>500</v>
      </c>
      <c r="BH67" s="3">
        <f t="shared" si="70"/>
        <v>4.9455984174085062E-5</v>
      </c>
      <c r="BI67">
        <v>1300000</v>
      </c>
      <c r="BJ67" s="3">
        <f t="shared" si="71"/>
        <v>6.8421052631578952E-2</v>
      </c>
      <c r="BK67">
        <v>0</v>
      </c>
      <c r="BL67" s="3">
        <f t="shared" si="72"/>
        <v>0</v>
      </c>
      <c r="BM67">
        <v>3661000</v>
      </c>
      <c r="BN67" s="3">
        <f t="shared" si="73"/>
        <v>4.5427472391115524E-3</v>
      </c>
      <c r="BO67">
        <v>1599</v>
      </c>
      <c r="BP67" s="3">
        <f t="shared" si="74"/>
        <v>0.24933728364260097</v>
      </c>
      <c r="BQ67">
        <v>1</v>
      </c>
      <c r="BR67" s="3">
        <f t="shared" si="75"/>
        <v>4.1666666666666664E-2</v>
      </c>
      <c r="BS67">
        <v>3356</v>
      </c>
      <c r="BT67" s="3">
        <f t="shared" si="76"/>
        <v>5.0951855355030893E-4</v>
      </c>
      <c r="BU67">
        <v>0</v>
      </c>
      <c r="BV67" s="3">
        <f t="shared" si="77"/>
        <v>0</v>
      </c>
      <c r="BW67">
        <v>9</v>
      </c>
      <c r="BX67" s="3">
        <f t="shared" si="78"/>
        <v>6.6602530896174052E-4</v>
      </c>
      <c r="BY67">
        <v>9700</v>
      </c>
      <c r="BZ67" s="3">
        <f t="shared" si="79"/>
        <v>1.6502211636611093E-2</v>
      </c>
      <c r="CA67" s="1">
        <v>467400</v>
      </c>
      <c r="CB67">
        <v>249700</v>
      </c>
      <c r="CC67" s="3">
        <f t="shared" si="80"/>
        <v>8.075679172056921E-2</v>
      </c>
      <c r="CD67">
        <v>486900</v>
      </c>
      <c r="CE67" s="3">
        <f t="shared" si="81"/>
        <v>2.2891396332863186E-2</v>
      </c>
      <c r="CF67" s="2">
        <v>697</v>
      </c>
      <c r="CG67" s="3">
        <f t="shared" si="82"/>
        <v>0.99995923557521293</v>
      </c>
      <c r="CH67" s="2">
        <v>193</v>
      </c>
      <c r="CI67" s="3">
        <f t="shared" si="83"/>
        <v>0.99904493269992078</v>
      </c>
      <c r="CJ67" s="2">
        <v>0</v>
      </c>
      <c r="CK67" s="3">
        <f t="shared" si="84"/>
        <v>1</v>
      </c>
      <c r="CL67" s="1">
        <v>10</v>
      </c>
    </row>
    <row r="68" spans="1:90" x14ac:dyDescent="0.3">
      <c r="A68" t="s">
        <v>178</v>
      </c>
      <c r="B68" t="s">
        <v>179</v>
      </c>
      <c r="C68">
        <v>66</v>
      </c>
      <c r="D68" s="9">
        <f t="shared" si="43"/>
        <v>56</v>
      </c>
      <c r="E68" s="9">
        <f t="shared" si="85"/>
        <v>3.7438814655347601</v>
      </c>
      <c r="F68" s="1">
        <v>11409077</v>
      </c>
      <c r="G68">
        <v>4800000</v>
      </c>
      <c r="H68" s="3">
        <f t="shared" si="44"/>
        <v>6.4000000000000003E-3</v>
      </c>
      <c r="I68">
        <v>3815000</v>
      </c>
      <c r="J68" s="3">
        <f t="shared" si="45"/>
        <v>6.1631663974151861E-3</v>
      </c>
      <c r="K68">
        <v>117015</v>
      </c>
      <c r="L68" s="3">
        <f t="shared" si="46"/>
        <v>5.109825327510917E-3</v>
      </c>
      <c r="M68">
        <v>38800</v>
      </c>
      <c r="N68" s="3">
        <f t="shared" si="47"/>
        <v>6.0201706749418151E-3</v>
      </c>
      <c r="O68">
        <v>32300</v>
      </c>
      <c r="P68" s="3">
        <f t="shared" si="48"/>
        <v>1.4292035398230089E-2</v>
      </c>
      <c r="Q68">
        <v>6500</v>
      </c>
      <c r="R68" s="3">
        <f t="shared" ref="R68:R131" si="86">Q68/VALUE(R$137)</f>
        <v>1.1818181818181819E-3</v>
      </c>
      <c r="S68">
        <v>173</v>
      </c>
      <c r="T68" s="3">
        <f t="shared" ref="T68:T131" si="87">S68/VALUE(T$137)</f>
        <v>1.2570847260572591E-2</v>
      </c>
      <c r="U68">
        <v>49</v>
      </c>
      <c r="V68" s="3">
        <f t="shared" si="51"/>
        <v>2.1341463414634148E-2</v>
      </c>
      <c r="W68">
        <v>49</v>
      </c>
      <c r="X68" s="3">
        <f t="shared" ref="X68:X131" si="88">W68/VALUE($X$137)</f>
        <v>1.7594254937163375E-2</v>
      </c>
      <c r="Y68">
        <v>51</v>
      </c>
      <c r="Z68" s="3">
        <f t="shared" ref="Z68:Z131" si="89">Y68/VALUE($Z$137)</f>
        <v>8.8865656037637221E-3</v>
      </c>
      <c r="AA68">
        <v>71</v>
      </c>
      <c r="AB68" s="3">
        <f t="shared" ref="AB68:AB131" si="90">AA68/VALUE($AB$137)</f>
        <v>2.5079477216531261E-2</v>
      </c>
      <c r="AC68">
        <v>37</v>
      </c>
      <c r="AD68" s="3">
        <f t="shared" ref="AD68:AD131" si="91">AC68/VALUE($AD$137)</f>
        <v>6.1005770816158289E-3</v>
      </c>
      <c r="AE68">
        <v>0</v>
      </c>
      <c r="AF68" s="3">
        <f t="shared" ref="AF68:AF131" si="92">AE68/VALUE($AF$137)</f>
        <v>0</v>
      </c>
      <c r="AG68">
        <v>0</v>
      </c>
      <c r="AH68" s="3">
        <f t="shared" ref="AH68:AH131" si="93">AG68/VALUE($AH$137)</f>
        <v>0</v>
      </c>
      <c r="AI68">
        <v>545</v>
      </c>
      <c r="AJ68" s="3">
        <f t="shared" ref="AJ68:AJ131" si="94">AI68/VALUE(AJ$137)</f>
        <v>1.3272612147484292E-2</v>
      </c>
      <c r="AK68">
        <v>0</v>
      </c>
      <c r="AL68" s="3">
        <f t="shared" ref="AL68:AL131" si="95">AK68/VALUE(AL$137)</f>
        <v>0</v>
      </c>
      <c r="AM68">
        <v>0</v>
      </c>
      <c r="AN68" s="3">
        <f t="shared" ref="AN68:AN131" si="96">AM68/VALUE(AN$137)</f>
        <v>0</v>
      </c>
      <c r="AO68">
        <v>0</v>
      </c>
      <c r="AP68" s="3">
        <f t="shared" ref="AP68:AP131" si="97">AO68/VALUE(AP$137)</f>
        <v>0</v>
      </c>
      <c r="AQ68">
        <v>17</v>
      </c>
      <c r="AR68" s="3">
        <f t="shared" ref="AR68:AR131" si="98">AQ68/VALUE(AR$137)</f>
        <v>1.7580144777662874E-2</v>
      </c>
      <c r="AS68">
        <v>0</v>
      </c>
      <c r="AT68" s="3">
        <f t="shared" ref="AT68:AT131" si="99">AS68/VALUE(AT$137)</f>
        <v>0</v>
      </c>
      <c r="AU68">
        <v>2</v>
      </c>
      <c r="AV68" s="3">
        <f t="shared" ref="AV68:AV131" si="100">AU68/VALUE(AV$137)</f>
        <v>3.9215686274509803E-2</v>
      </c>
      <c r="AW68">
        <v>0</v>
      </c>
      <c r="AX68" s="3">
        <f t="shared" ref="AX68:AX131" si="101">AW68/VALUE(AX$137)</f>
        <v>0</v>
      </c>
      <c r="AY68">
        <v>0</v>
      </c>
      <c r="AZ68" s="3">
        <f t="shared" ref="AZ68:AZ131" si="102">AY68/VALUE(AZ$137)</f>
        <v>0</v>
      </c>
      <c r="BA68">
        <v>0</v>
      </c>
      <c r="BB68" s="3">
        <f t="shared" ref="BB68:BB131" si="103">BA68/VALUE(BB$137)</f>
        <v>0</v>
      </c>
      <c r="BC68">
        <v>2</v>
      </c>
      <c r="BD68" s="3">
        <f t="shared" ref="BD68:BD131" si="104">BC68/VALUE(BD$137)</f>
        <v>4.5662100456621002E-3</v>
      </c>
      <c r="BE68">
        <v>6</v>
      </c>
      <c r="BF68" s="3">
        <f t="shared" ref="BF68:BF131" si="105">BE68/VALUE(BF$137)</f>
        <v>0.13043478260869565</v>
      </c>
      <c r="BG68">
        <v>10530</v>
      </c>
      <c r="BH68" s="3">
        <f t="shared" ref="BH68:BH131" si="106">BG68/VALUE(BH$137)</f>
        <v>1.0415430267062314E-3</v>
      </c>
      <c r="BI68">
        <v>615000</v>
      </c>
      <c r="BJ68" s="3">
        <f t="shared" ref="BJ68:BJ131" si="107">BI68/VALUE(BJ$137)</f>
        <v>3.2368421052631581E-2</v>
      </c>
      <c r="BK68">
        <v>0</v>
      </c>
      <c r="BL68" s="3">
        <f t="shared" ref="BL68:BL131" si="108">BK68/VALUE(BL$137)</f>
        <v>0</v>
      </c>
      <c r="BM68">
        <v>5272000</v>
      </c>
      <c r="BN68" s="3">
        <f t="shared" ref="BN68:BN131" si="109">BM68/VALUE(BN$137)</f>
        <v>6.5417545601191215E-3</v>
      </c>
      <c r="BO68">
        <v>87</v>
      </c>
      <c r="BP68" s="3">
        <f t="shared" ref="BP68:BP131" si="110">BO68/VALUE(BP$137)</f>
        <v>1.3566193669109621E-2</v>
      </c>
      <c r="BQ68">
        <v>8</v>
      </c>
      <c r="BR68" s="3">
        <f t="shared" ref="BR68:BR131" si="111">BQ68/VALUE(BR$137)</f>
        <v>0.33333333333333331</v>
      </c>
      <c r="BS68">
        <v>153595</v>
      </c>
      <c r="BT68" s="3">
        <f t="shared" ref="BT68:BT131" si="112">BS68/VALUE(BT$137)</f>
        <v>2.3319279568700745E-2</v>
      </c>
      <c r="BU68">
        <v>3233</v>
      </c>
      <c r="BV68" s="3">
        <f t="shared" ref="BV68:BV131" si="113">BU68/VALUE(BV$137)</f>
        <v>1.4382184419374356E-2</v>
      </c>
      <c r="BW68">
        <v>41</v>
      </c>
      <c r="BX68" s="3">
        <f t="shared" ref="BX68:BX131" si="114">BW68/VALUE(BX$137)</f>
        <v>3.0341152963812624E-3</v>
      </c>
      <c r="BY68">
        <v>5085</v>
      </c>
      <c r="BZ68" s="3">
        <f t="shared" ref="BZ68:BZ131" si="115">BY68/VALUE(BZ$137)</f>
        <v>8.6509016672337534E-3</v>
      </c>
      <c r="CA68" s="1">
        <v>1281000</v>
      </c>
      <c r="CB68">
        <v>24100</v>
      </c>
      <c r="CC68" s="3">
        <f t="shared" ref="CC68:CC131" si="116">CB68/VALUE(CC$137)</f>
        <v>7.7943078913324708E-3</v>
      </c>
      <c r="CD68">
        <v>508600</v>
      </c>
      <c r="CE68" s="3">
        <f t="shared" ref="CE68:CE131" si="117">CD68/VALUE(CE$137)</f>
        <v>2.3911612599905971E-2</v>
      </c>
      <c r="CF68" s="2">
        <v>30528</v>
      </c>
      <c r="CG68" s="3">
        <f t="shared" ref="CG68:CG131" si="118">1-(CF68/VALUE(CG$137))</f>
        <v>0.99821455328565356</v>
      </c>
      <c r="CH68" s="2">
        <v>67</v>
      </c>
      <c r="CI68" s="3">
        <f t="shared" ref="CI68:CI131" si="119">1-(CH68/VALUE(CI$137))</f>
        <v>0.99966844813935074</v>
      </c>
      <c r="CJ68" s="2">
        <v>1297</v>
      </c>
      <c r="CK68" s="3">
        <f t="shared" ref="CK68:CK131" si="120">1-(CJ68/VALUE(CK$137))</f>
        <v>0.94224517967671551</v>
      </c>
      <c r="CL68" s="1">
        <v>2043</v>
      </c>
    </row>
    <row r="69" spans="1:90" x14ac:dyDescent="0.3">
      <c r="A69" t="s">
        <v>180</v>
      </c>
      <c r="B69" t="s">
        <v>181</v>
      </c>
      <c r="C69">
        <v>67</v>
      </c>
      <c r="D69" s="9">
        <f t="shared" si="43"/>
        <v>63</v>
      </c>
      <c r="E69" s="9">
        <f t="shared" si="85"/>
        <v>3.6370961216573248</v>
      </c>
      <c r="F69" s="1">
        <v>7144653</v>
      </c>
      <c r="G69">
        <v>3300000</v>
      </c>
      <c r="H69" s="3">
        <f t="shared" si="44"/>
        <v>4.4000000000000003E-3</v>
      </c>
      <c r="I69">
        <v>2700000</v>
      </c>
      <c r="J69" s="3">
        <f t="shared" ref="J69:J132" si="121">I69/VALUE(J$137)</f>
        <v>4.3618739903069463E-3</v>
      </c>
      <c r="K69">
        <v>66000</v>
      </c>
      <c r="L69" s="3">
        <f t="shared" ref="L69:L132" si="122">K69/VALUE(L$137)</f>
        <v>2.8820960698689958E-3</v>
      </c>
      <c r="M69">
        <v>52650</v>
      </c>
      <c r="N69" s="3">
        <f t="shared" ref="N69:N132" si="123">M69/VALUE(N$137)</f>
        <v>8.1691233514352216E-3</v>
      </c>
      <c r="O69">
        <v>33150</v>
      </c>
      <c r="P69" s="3">
        <f t="shared" ref="P69:P132" si="124">O69/VALUE(P$137)</f>
        <v>1.4668141592920354E-2</v>
      </c>
      <c r="Q69">
        <v>19500</v>
      </c>
      <c r="R69" s="3">
        <f t="shared" si="86"/>
        <v>3.5454545454545456E-3</v>
      </c>
      <c r="S69">
        <v>66</v>
      </c>
      <c r="T69" s="3">
        <f t="shared" si="87"/>
        <v>4.7958145618369422E-3</v>
      </c>
      <c r="U69">
        <v>15</v>
      </c>
      <c r="V69" s="3">
        <f t="shared" ref="V69:V132" si="125">U69/VALUE(V$137)</f>
        <v>6.5331010452961674E-3</v>
      </c>
      <c r="W69">
        <v>31</v>
      </c>
      <c r="X69" s="3">
        <f t="shared" si="88"/>
        <v>1.1131059245960502E-2</v>
      </c>
      <c r="Y69">
        <v>28</v>
      </c>
      <c r="Z69" s="3">
        <f t="shared" si="89"/>
        <v>4.8788987628506711E-3</v>
      </c>
      <c r="AA69">
        <v>13</v>
      </c>
      <c r="AB69" s="3">
        <f t="shared" si="90"/>
        <v>4.5920169551395265E-3</v>
      </c>
      <c r="AC69">
        <v>22</v>
      </c>
      <c r="AD69" s="3">
        <f t="shared" si="91"/>
        <v>3.6273701566364386E-3</v>
      </c>
      <c r="AE69">
        <v>0</v>
      </c>
      <c r="AF69" s="3">
        <f t="shared" si="92"/>
        <v>0</v>
      </c>
      <c r="AG69">
        <v>531</v>
      </c>
      <c r="AH69" s="3">
        <f t="shared" si="93"/>
        <v>2.6266323703996834E-2</v>
      </c>
      <c r="AI69">
        <v>1103</v>
      </c>
      <c r="AJ69" s="3">
        <f t="shared" si="94"/>
        <v>2.6861818713165456E-2</v>
      </c>
      <c r="AK69">
        <v>150</v>
      </c>
      <c r="AL69" s="3">
        <f t="shared" si="95"/>
        <v>2.5117213663764234E-2</v>
      </c>
      <c r="AM69">
        <v>350</v>
      </c>
      <c r="AN69" s="3">
        <f t="shared" si="96"/>
        <v>4.7207984893444833E-2</v>
      </c>
      <c r="AO69">
        <v>100</v>
      </c>
      <c r="AP69" s="3">
        <f t="shared" si="97"/>
        <v>2.6364355391510677E-2</v>
      </c>
      <c r="AQ69">
        <v>29</v>
      </c>
      <c r="AR69" s="3">
        <f t="shared" si="98"/>
        <v>2.9989658738366079E-2</v>
      </c>
      <c r="AS69">
        <v>0</v>
      </c>
      <c r="AT69" s="3">
        <f t="shared" si="99"/>
        <v>0</v>
      </c>
      <c r="AU69">
        <v>4</v>
      </c>
      <c r="AV69" s="3">
        <f t="shared" si="100"/>
        <v>7.8431372549019607E-2</v>
      </c>
      <c r="AW69">
        <v>0</v>
      </c>
      <c r="AX69" s="3">
        <f t="shared" si="101"/>
        <v>0</v>
      </c>
      <c r="AY69">
        <v>3</v>
      </c>
      <c r="AZ69" s="3">
        <f t="shared" si="102"/>
        <v>3.7037037037037035E-2</v>
      </c>
      <c r="BA69">
        <v>0</v>
      </c>
      <c r="BB69" s="3">
        <f t="shared" si="103"/>
        <v>0</v>
      </c>
      <c r="BC69">
        <v>0</v>
      </c>
      <c r="BD69" s="3">
        <f t="shared" si="104"/>
        <v>0</v>
      </c>
      <c r="BE69">
        <v>10</v>
      </c>
      <c r="BF69" s="3">
        <f t="shared" si="105"/>
        <v>0.21739130434782608</v>
      </c>
      <c r="BG69">
        <v>1000</v>
      </c>
      <c r="BH69" s="3">
        <f t="shared" si="106"/>
        <v>9.8911968348170125E-5</v>
      </c>
      <c r="BI69">
        <v>94000</v>
      </c>
      <c r="BJ69" s="3">
        <f t="shared" si="107"/>
        <v>4.9473684210526317E-3</v>
      </c>
      <c r="BK69">
        <v>15000000</v>
      </c>
      <c r="BL69" s="3">
        <f t="shared" si="108"/>
        <v>5.0000000000000002E-5</v>
      </c>
      <c r="BM69">
        <v>2525000</v>
      </c>
      <c r="BN69" s="3">
        <f t="shared" si="109"/>
        <v>3.1331430698597839E-3</v>
      </c>
      <c r="BO69">
        <v>22</v>
      </c>
      <c r="BP69" s="3">
        <f t="shared" si="110"/>
        <v>3.4305317324185248E-3</v>
      </c>
      <c r="BQ69">
        <v>2</v>
      </c>
      <c r="BR69" s="3">
        <f t="shared" si="111"/>
        <v>8.3333333333333329E-2</v>
      </c>
      <c r="BS69">
        <v>19512</v>
      </c>
      <c r="BT69" s="3">
        <f t="shared" si="112"/>
        <v>2.9623736641458962E-3</v>
      </c>
      <c r="BU69">
        <v>4152</v>
      </c>
      <c r="BV69" s="3">
        <f t="shared" si="113"/>
        <v>1.8470408199580055E-2</v>
      </c>
      <c r="BW69">
        <v>68</v>
      </c>
      <c r="BX69" s="3">
        <f t="shared" si="114"/>
        <v>5.0321912232664844E-3</v>
      </c>
      <c r="BY69">
        <v>700</v>
      </c>
      <c r="BZ69" s="3">
        <f t="shared" si="115"/>
        <v>1.1908812521265737E-3</v>
      </c>
      <c r="CA69" s="1">
        <v>42420</v>
      </c>
      <c r="CB69">
        <v>25120</v>
      </c>
      <c r="CC69" s="3">
        <f t="shared" si="116"/>
        <v>8.1241914618369986E-3</v>
      </c>
      <c r="CD69">
        <v>143100</v>
      </c>
      <c r="CE69" s="3">
        <f t="shared" si="117"/>
        <v>6.7277856135401978E-3</v>
      </c>
      <c r="CF69" s="2">
        <v>110880</v>
      </c>
      <c r="CG69" s="3">
        <f t="shared" si="118"/>
        <v>0.99351512278279841</v>
      </c>
      <c r="CH69" s="2">
        <v>354</v>
      </c>
      <c r="CI69" s="3">
        <f t="shared" si="119"/>
        <v>0.99824821852731593</v>
      </c>
      <c r="CJ69" s="2">
        <v>1806</v>
      </c>
      <c r="CK69" s="3">
        <f t="shared" si="120"/>
        <v>0.91957964109186441</v>
      </c>
      <c r="CL69" s="1">
        <v>470</v>
      </c>
    </row>
    <row r="70" spans="1:90" x14ac:dyDescent="0.3">
      <c r="A70" t="s">
        <v>182</v>
      </c>
      <c r="B70" t="s">
        <v>183</v>
      </c>
      <c r="C70">
        <v>68</v>
      </c>
      <c r="D70" s="9">
        <f t="shared" si="43"/>
        <v>80</v>
      </c>
      <c r="E70" s="9">
        <f t="shared" si="85"/>
        <v>3.3363261272428293</v>
      </c>
      <c r="F70" s="1">
        <v>4313707</v>
      </c>
      <c r="G70">
        <v>2100000</v>
      </c>
      <c r="H70" s="3">
        <f t="shared" ref="H70:H133" si="126">G70/VALUE(H$137)</f>
        <v>2.8E-3</v>
      </c>
      <c r="I70">
        <v>1612000</v>
      </c>
      <c r="J70" s="3">
        <f t="shared" si="121"/>
        <v>2.6042003231017772E-3</v>
      </c>
      <c r="K70">
        <v>55500</v>
      </c>
      <c r="L70" s="3">
        <f t="shared" si="122"/>
        <v>2.423580786026201E-3</v>
      </c>
      <c r="M70">
        <v>21525</v>
      </c>
      <c r="N70" s="3">
        <f t="shared" si="123"/>
        <v>3.339798293250582E-3</v>
      </c>
      <c r="O70">
        <v>18525</v>
      </c>
      <c r="P70" s="3">
        <f t="shared" si="124"/>
        <v>8.1969026548672566E-3</v>
      </c>
      <c r="Q70">
        <v>3000</v>
      </c>
      <c r="R70" s="3">
        <f t="shared" si="86"/>
        <v>5.4545454545454548E-4</v>
      </c>
      <c r="S70">
        <v>74</v>
      </c>
      <c r="T70" s="3">
        <f t="shared" si="87"/>
        <v>5.3771254178171775E-3</v>
      </c>
      <c r="U70">
        <v>12</v>
      </c>
      <c r="V70" s="3">
        <f t="shared" si="125"/>
        <v>5.2264808362369342E-3</v>
      </c>
      <c r="W70">
        <v>12</v>
      </c>
      <c r="X70" s="3">
        <f t="shared" si="88"/>
        <v>4.3087971274685813E-3</v>
      </c>
      <c r="Y70">
        <v>23</v>
      </c>
      <c r="Z70" s="3">
        <f t="shared" si="89"/>
        <v>4.007666840913051E-3</v>
      </c>
      <c r="AA70">
        <v>19</v>
      </c>
      <c r="AB70" s="3">
        <f t="shared" si="90"/>
        <v>6.7114093959731542E-3</v>
      </c>
      <c r="AC70">
        <v>36</v>
      </c>
      <c r="AD70" s="3">
        <f t="shared" si="91"/>
        <v>5.9356966199505361E-3</v>
      </c>
      <c r="AE70">
        <v>0</v>
      </c>
      <c r="AF70" s="3">
        <f t="shared" si="92"/>
        <v>0</v>
      </c>
      <c r="AG70">
        <v>72</v>
      </c>
      <c r="AH70" s="3">
        <f t="shared" si="93"/>
        <v>3.5615354174910962E-3</v>
      </c>
      <c r="AI70">
        <v>574</v>
      </c>
      <c r="AJ70" s="3">
        <f t="shared" si="94"/>
        <v>1.3978861234231163E-2</v>
      </c>
      <c r="AK70">
        <v>21</v>
      </c>
      <c r="AL70" s="3">
        <f t="shared" si="95"/>
        <v>3.5164099129269925E-3</v>
      </c>
      <c r="AM70">
        <v>70</v>
      </c>
      <c r="AN70" s="3">
        <f t="shared" si="96"/>
        <v>9.4415969786889667E-3</v>
      </c>
      <c r="AO70">
        <v>92</v>
      </c>
      <c r="AP70" s="3">
        <f t="shared" si="97"/>
        <v>2.4255206960189825E-2</v>
      </c>
      <c r="AQ70">
        <v>28</v>
      </c>
      <c r="AR70" s="3">
        <f t="shared" si="98"/>
        <v>2.8955532574974147E-2</v>
      </c>
      <c r="AS70">
        <v>0</v>
      </c>
      <c r="AT70" s="3">
        <f t="shared" si="99"/>
        <v>0</v>
      </c>
      <c r="AU70">
        <v>0</v>
      </c>
      <c r="AV70" s="3">
        <f t="shared" si="100"/>
        <v>0</v>
      </c>
      <c r="AW70">
        <v>0</v>
      </c>
      <c r="AX70" s="3">
        <f t="shared" si="101"/>
        <v>0</v>
      </c>
      <c r="AY70">
        <v>0</v>
      </c>
      <c r="AZ70" s="3">
        <f t="shared" si="102"/>
        <v>0</v>
      </c>
      <c r="BA70">
        <v>0</v>
      </c>
      <c r="BB70" s="3">
        <f t="shared" si="103"/>
        <v>0</v>
      </c>
      <c r="BC70">
        <v>4</v>
      </c>
      <c r="BD70" s="3">
        <f t="shared" si="104"/>
        <v>9.1324200913242004E-3</v>
      </c>
      <c r="BE70">
        <v>1</v>
      </c>
      <c r="BF70" s="3">
        <f t="shared" si="105"/>
        <v>2.1739130434782608E-2</v>
      </c>
      <c r="BG70">
        <v>10070</v>
      </c>
      <c r="BH70" s="3">
        <f t="shared" si="106"/>
        <v>9.9604352126607312E-4</v>
      </c>
      <c r="BI70">
        <v>84000</v>
      </c>
      <c r="BJ70" s="3">
        <f t="shared" si="107"/>
        <v>4.4210526315789471E-3</v>
      </c>
      <c r="BK70">
        <v>71000000</v>
      </c>
      <c r="BL70" s="3">
        <f t="shared" si="108"/>
        <v>2.3666666666666665E-4</v>
      </c>
      <c r="BM70">
        <v>1610000</v>
      </c>
      <c r="BN70" s="3">
        <f t="shared" si="109"/>
        <v>1.9977664722670308E-3</v>
      </c>
      <c r="BO70">
        <v>77</v>
      </c>
      <c r="BP70" s="3">
        <f t="shared" si="110"/>
        <v>1.2006861063464836E-2</v>
      </c>
      <c r="BQ70">
        <v>6</v>
      </c>
      <c r="BR70" s="3">
        <f t="shared" si="111"/>
        <v>0.25</v>
      </c>
      <c r="BS70">
        <v>29343</v>
      </c>
      <c r="BT70" s="3">
        <f t="shared" si="112"/>
        <v>4.4549472338577811E-3</v>
      </c>
      <c r="BU70">
        <v>2722</v>
      </c>
      <c r="BV70" s="3">
        <f t="shared" si="113"/>
        <v>1.2108971849532012E-2</v>
      </c>
      <c r="BW70">
        <v>69</v>
      </c>
      <c r="BX70" s="3">
        <f t="shared" si="114"/>
        <v>5.1061940353733445E-3</v>
      </c>
      <c r="BY70">
        <v>958</v>
      </c>
      <c r="BZ70" s="3">
        <f t="shared" si="115"/>
        <v>1.6298060564817966E-3</v>
      </c>
      <c r="CA70" s="1">
        <v>48110</v>
      </c>
      <c r="CB70">
        <v>14460</v>
      </c>
      <c r="CC70" s="3">
        <f t="shared" si="116"/>
        <v>4.6765847347994827E-3</v>
      </c>
      <c r="CD70">
        <v>94240</v>
      </c>
      <c r="CE70" s="3">
        <f t="shared" si="117"/>
        <v>4.4306535025858016E-3</v>
      </c>
      <c r="CF70" s="2">
        <v>56594</v>
      </c>
      <c r="CG70" s="3">
        <f t="shared" si="118"/>
        <v>0.99669006907259827</v>
      </c>
      <c r="CH70" s="2">
        <v>5835</v>
      </c>
      <c r="CI70" s="3">
        <f t="shared" si="119"/>
        <v>0.97112529691211402</v>
      </c>
      <c r="CJ70" s="2">
        <v>2237</v>
      </c>
      <c r="CK70" s="3">
        <f t="shared" si="120"/>
        <v>0.9003874070445741</v>
      </c>
      <c r="CL70" s="1">
        <v>785</v>
      </c>
    </row>
    <row r="71" spans="1:90" x14ac:dyDescent="0.3">
      <c r="A71" t="s">
        <v>184</v>
      </c>
      <c r="B71" t="s">
        <v>185</v>
      </c>
      <c r="C71">
        <v>69</v>
      </c>
      <c r="D71" s="9">
        <f t="shared" ref="D71:D102" si="127">RANK(E71,$E$2:$E$135)</f>
        <v>76</v>
      </c>
      <c r="E71" s="9">
        <f t="shared" si="85"/>
        <v>3.3800038188977513</v>
      </c>
      <c r="F71" s="1">
        <v>33332025</v>
      </c>
      <c r="G71">
        <v>14000000</v>
      </c>
      <c r="H71" s="3">
        <f t="shared" si="126"/>
        <v>1.8666666666666668E-2</v>
      </c>
      <c r="I71">
        <v>8000000</v>
      </c>
      <c r="J71" s="3">
        <f t="shared" si="121"/>
        <v>1.2924071082390954E-2</v>
      </c>
      <c r="K71">
        <v>765000</v>
      </c>
      <c r="L71" s="3">
        <f t="shared" si="122"/>
        <v>3.3406113537117907E-2</v>
      </c>
      <c r="M71">
        <v>200000</v>
      </c>
      <c r="N71" s="3">
        <f t="shared" si="123"/>
        <v>3.1031807602792862E-2</v>
      </c>
      <c r="O71">
        <v>200000</v>
      </c>
      <c r="P71" s="3">
        <f t="shared" si="124"/>
        <v>8.8495575221238937E-2</v>
      </c>
      <c r="Q71">
        <v>0</v>
      </c>
      <c r="R71" s="3">
        <f t="shared" si="86"/>
        <v>0</v>
      </c>
      <c r="S71">
        <v>205</v>
      </c>
      <c r="T71" s="3">
        <f t="shared" si="87"/>
        <v>1.4896090684493534E-2</v>
      </c>
      <c r="U71">
        <v>0</v>
      </c>
      <c r="V71" s="3">
        <f t="shared" si="125"/>
        <v>0</v>
      </c>
      <c r="W71">
        <v>15</v>
      </c>
      <c r="X71" s="3">
        <f t="shared" si="88"/>
        <v>5.3859964093357273E-3</v>
      </c>
      <c r="Y71">
        <v>158</v>
      </c>
      <c r="Z71" s="3">
        <f t="shared" si="89"/>
        <v>2.7530928733228786E-2</v>
      </c>
      <c r="AA71">
        <v>0</v>
      </c>
      <c r="AB71" s="3">
        <f t="shared" si="90"/>
        <v>0</v>
      </c>
      <c r="AC71">
        <v>142</v>
      </c>
      <c r="AD71" s="3">
        <f t="shared" si="91"/>
        <v>2.3413025556471557E-2</v>
      </c>
      <c r="AE71">
        <v>6</v>
      </c>
      <c r="AF71" s="3">
        <f t="shared" si="92"/>
        <v>6.3357972544878568E-3</v>
      </c>
      <c r="AG71">
        <v>0</v>
      </c>
      <c r="AH71" s="3">
        <f t="shared" si="93"/>
        <v>0</v>
      </c>
      <c r="AI71">
        <v>9562</v>
      </c>
      <c r="AJ71" s="3">
        <f t="shared" si="94"/>
        <v>0.23286737129219229</v>
      </c>
      <c r="AK71">
        <v>0</v>
      </c>
      <c r="AL71" s="3">
        <f t="shared" si="95"/>
        <v>0</v>
      </c>
      <c r="AM71">
        <v>200</v>
      </c>
      <c r="AN71" s="3">
        <f t="shared" si="96"/>
        <v>2.6975991367682764E-2</v>
      </c>
      <c r="AO71">
        <v>50</v>
      </c>
      <c r="AP71" s="3">
        <f t="shared" si="97"/>
        <v>1.3182177695755339E-2</v>
      </c>
      <c r="AQ71">
        <v>0</v>
      </c>
      <c r="AR71" s="3">
        <f t="shared" si="98"/>
        <v>0</v>
      </c>
      <c r="AS71">
        <v>0</v>
      </c>
      <c r="AT71" s="3">
        <f t="shared" si="99"/>
        <v>0</v>
      </c>
      <c r="AU71">
        <v>0</v>
      </c>
      <c r="AV71" s="3">
        <f t="shared" si="100"/>
        <v>0</v>
      </c>
      <c r="AW71">
        <v>0</v>
      </c>
      <c r="AX71" s="3">
        <f t="shared" si="101"/>
        <v>0</v>
      </c>
      <c r="AY71">
        <v>0</v>
      </c>
      <c r="AZ71" s="3">
        <f t="shared" si="102"/>
        <v>0</v>
      </c>
      <c r="BA71">
        <v>0</v>
      </c>
      <c r="BB71" s="3">
        <f t="shared" si="103"/>
        <v>0</v>
      </c>
      <c r="BC71">
        <v>0</v>
      </c>
      <c r="BD71" s="3">
        <f t="shared" si="104"/>
        <v>0</v>
      </c>
      <c r="BE71">
        <v>0</v>
      </c>
      <c r="BF71" s="3">
        <f t="shared" si="105"/>
        <v>0</v>
      </c>
      <c r="BG71">
        <v>0</v>
      </c>
      <c r="BH71" s="3">
        <f t="shared" si="106"/>
        <v>0</v>
      </c>
      <c r="BI71">
        <v>50000</v>
      </c>
      <c r="BJ71" s="3">
        <f t="shared" si="107"/>
        <v>2.631578947368421E-3</v>
      </c>
      <c r="BK71">
        <v>0</v>
      </c>
      <c r="BL71" s="3">
        <f t="shared" si="108"/>
        <v>0</v>
      </c>
      <c r="BM71">
        <v>7983000</v>
      </c>
      <c r="BN71" s="3">
        <f t="shared" si="109"/>
        <v>9.9056954957190725E-3</v>
      </c>
      <c r="BO71">
        <v>0</v>
      </c>
      <c r="BP71" s="3">
        <f t="shared" si="110"/>
        <v>0</v>
      </c>
      <c r="BQ71">
        <v>2</v>
      </c>
      <c r="BR71" s="3">
        <f t="shared" si="111"/>
        <v>8.3333333333333329E-2</v>
      </c>
      <c r="BS71">
        <v>42150</v>
      </c>
      <c r="BT71" s="3">
        <f t="shared" si="112"/>
        <v>6.3993465530826936E-3</v>
      </c>
      <c r="BU71">
        <v>0</v>
      </c>
      <c r="BV71" s="3">
        <f t="shared" si="113"/>
        <v>0</v>
      </c>
      <c r="BW71">
        <v>43</v>
      </c>
      <c r="BX71" s="3">
        <f t="shared" si="114"/>
        <v>3.1821209205949827E-3</v>
      </c>
      <c r="BY71">
        <v>11500</v>
      </c>
      <c r="BZ71" s="3">
        <f t="shared" si="115"/>
        <v>1.9564477713507996E-2</v>
      </c>
      <c r="CA71" s="1">
        <v>1280</v>
      </c>
      <c r="CB71">
        <v>66810</v>
      </c>
      <c r="CC71" s="3">
        <f t="shared" si="116"/>
        <v>2.1607373868046571E-2</v>
      </c>
      <c r="CD71">
        <v>64080</v>
      </c>
      <c r="CE71" s="3">
        <f t="shared" si="117"/>
        <v>3.0126939351198872E-3</v>
      </c>
      <c r="CF71" s="2">
        <v>652230</v>
      </c>
      <c r="CG71" s="3">
        <f t="shared" si="118"/>
        <v>0.96185397305758102</v>
      </c>
      <c r="CH71" s="2">
        <v>0</v>
      </c>
      <c r="CI71" s="3">
        <f t="shared" si="119"/>
        <v>1</v>
      </c>
      <c r="CJ71" s="2">
        <v>5987</v>
      </c>
      <c r="CK71" s="3">
        <f t="shared" si="120"/>
        <v>0.73340161196954179</v>
      </c>
      <c r="CL71" s="1">
        <v>1200</v>
      </c>
    </row>
    <row r="72" spans="1:90" x14ac:dyDescent="0.3">
      <c r="A72" t="s">
        <v>186</v>
      </c>
      <c r="B72" t="s">
        <v>187</v>
      </c>
      <c r="C72">
        <v>70</v>
      </c>
      <c r="D72" s="9">
        <f t="shared" si="127"/>
        <v>66</v>
      </c>
      <c r="E72" s="9">
        <f t="shared" si="85"/>
        <v>3.5641167463753387</v>
      </c>
      <c r="F72" s="1">
        <v>16080778</v>
      </c>
      <c r="G72">
        <v>7600000</v>
      </c>
      <c r="H72" s="3">
        <f t="shared" si="126"/>
        <v>1.0133333333333333E-2</v>
      </c>
      <c r="I72">
        <v>6105000</v>
      </c>
      <c r="J72" s="3">
        <f t="shared" si="121"/>
        <v>9.8626817447495969E-3</v>
      </c>
      <c r="K72">
        <v>300000</v>
      </c>
      <c r="L72" s="3">
        <f t="shared" si="122"/>
        <v>1.3100436681222707E-2</v>
      </c>
      <c r="M72">
        <v>158500</v>
      </c>
      <c r="N72" s="3">
        <f t="shared" si="123"/>
        <v>2.4592707525213343E-2</v>
      </c>
      <c r="O72">
        <v>40000</v>
      </c>
      <c r="P72" s="3">
        <f t="shared" si="124"/>
        <v>1.7699115044247787E-2</v>
      </c>
      <c r="Q72">
        <v>118500</v>
      </c>
      <c r="R72" s="3">
        <f t="shared" si="86"/>
        <v>2.1545454545454545E-2</v>
      </c>
      <c r="S72">
        <v>122</v>
      </c>
      <c r="T72" s="3">
        <f t="shared" si="87"/>
        <v>8.8649905536985901E-3</v>
      </c>
      <c r="U72">
        <v>10</v>
      </c>
      <c r="V72" s="3">
        <f t="shared" si="125"/>
        <v>4.3554006968641113E-3</v>
      </c>
      <c r="W72">
        <v>10</v>
      </c>
      <c r="X72" s="3">
        <f t="shared" si="88"/>
        <v>3.5906642728904849E-3</v>
      </c>
      <c r="Y72">
        <v>69</v>
      </c>
      <c r="Z72" s="3">
        <f t="shared" si="89"/>
        <v>1.2023000522739153E-2</v>
      </c>
      <c r="AA72">
        <v>49</v>
      </c>
      <c r="AB72" s="3">
        <f t="shared" si="90"/>
        <v>1.7308371600141294E-2</v>
      </c>
      <c r="AC72">
        <v>45</v>
      </c>
      <c r="AD72" s="3">
        <f t="shared" si="91"/>
        <v>7.4196207749381701E-3</v>
      </c>
      <c r="AE72">
        <v>0</v>
      </c>
      <c r="AF72" s="3">
        <f t="shared" si="92"/>
        <v>0</v>
      </c>
      <c r="AG72">
        <v>232</v>
      </c>
      <c r="AH72" s="3">
        <f t="shared" si="93"/>
        <v>1.147605856747131E-2</v>
      </c>
      <c r="AI72">
        <v>385</v>
      </c>
      <c r="AJ72" s="3">
        <f t="shared" si="94"/>
        <v>9.3760654619843165E-3</v>
      </c>
      <c r="AK72">
        <v>12</v>
      </c>
      <c r="AL72" s="3">
        <f t="shared" si="95"/>
        <v>2.0093770931011385E-3</v>
      </c>
      <c r="AM72">
        <v>100</v>
      </c>
      <c r="AN72" s="3">
        <f t="shared" si="96"/>
        <v>1.3487995683841382E-2</v>
      </c>
      <c r="AO72">
        <v>18</v>
      </c>
      <c r="AP72" s="3">
        <f t="shared" si="97"/>
        <v>4.7455839704719218E-3</v>
      </c>
      <c r="AQ72">
        <v>19</v>
      </c>
      <c r="AR72" s="3">
        <f t="shared" si="98"/>
        <v>1.9648397104446741E-2</v>
      </c>
      <c r="AS72">
        <v>0</v>
      </c>
      <c r="AT72" s="3">
        <f t="shared" si="99"/>
        <v>0</v>
      </c>
      <c r="AU72">
        <v>2</v>
      </c>
      <c r="AV72" s="3">
        <f t="shared" si="100"/>
        <v>3.9215686274509803E-2</v>
      </c>
      <c r="AW72">
        <v>0</v>
      </c>
      <c r="AX72" s="3">
        <f t="shared" si="101"/>
        <v>0</v>
      </c>
      <c r="AY72">
        <v>6</v>
      </c>
      <c r="AZ72" s="3">
        <f t="shared" si="102"/>
        <v>7.407407407407407E-2</v>
      </c>
      <c r="BA72">
        <v>2</v>
      </c>
      <c r="BB72" s="3">
        <f t="shared" si="103"/>
        <v>2.6315789473684209E-2</v>
      </c>
      <c r="BC72">
        <v>3</v>
      </c>
      <c r="BD72" s="3">
        <f t="shared" si="104"/>
        <v>6.8493150684931503E-3</v>
      </c>
      <c r="BE72">
        <v>0</v>
      </c>
      <c r="BF72" s="3">
        <f t="shared" si="105"/>
        <v>0</v>
      </c>
      <c r="BG72">
        <v>556400</v>
      </c>
      <c r="BH72" s="3">
        <f t="shared" si="106"/>
        <v>5.5034619188921857E-2</v>
      </c>
      <c r="BI72">
        <v>255000</v>
      </c>
      <c r="BJ72" s="3">
        <f t="shared" si="107"/>
        <v>1.3421052631578948E-2</v>
      </c>
      <c r="BK72">
        <v>8832000000</v>
      </c>
      <c r="BL72" s="3">
        <f t="shared" si="108"/>
        <v>2.9440000000000001E-2</v>
      </c>
      <c r="BM72">
        <v>4848000</v>
      </c>
      <c r="BN72" s="3">
        <f t="shared" si="109"/>
        <v>6.0156346941307856E-3</v>
      </c>
      <c r="BO72">
        <v>44</v>
      </c>
      <c r="BP72" s="3">
        <f t="shared" si="110"/>
        <v>6.8610634648370496E-3</v>
      </c>
      <c r="BQ72">
        <v>4</v>
      </c>
      <c r="BR72" s="3">
        <f t="shared" si="111"/>
        <v>0.16666666666666666</v>
      </c>
      <c r="BS72">
        <v>43670</v>
      </c>
      <c r="BT72" s="3">
        <f t="shared" si="112"/>
        <v>6.6301177692318202E-3</v>
      </c>
      <c r="BU72">
        <v>965</v>
      </c>
      <c r="BV72" s="3">
        <f t="shared" si="113"/>
        <v>4.2928573970603939E-3</v>
      </c>
      <c r="BW72">
        <v>432</v>
      </c>
      <c r="BX72" s="3">
        <f t="shared" si="114"/>
        <v>3.1969214830163545E-2</v>
      </c>
      <c r="BY72">
        <v>2400</v>
      </c>
      <c r="BZ72" s="3">
        <f t="shared" si="115"/>
        <v>4.0830214358625379E-3</v>
      </c>
      <c r="CA72" s="1">
        <v>33220</v>
      </c>
      <c r="CB72">
        <v>2163</v>
      </c>
      <c r="CC72" s="3">
        <f t="shared" si="116"/>
        <v>6.9954721862871931E-4</v>
      </c>
      <c r="CD72">
        <v>182400</v>
      </c>
      <c r="CE72" s="3">
        <f t="shared" si="117"/>
        <v>8.575458392101552E-3</v>
      </c>
      <c r="CF72" s="2">
        <v>283560</v>
      </c>
      <c r="CG72" s="3">
        <f t="shared" si="118"/>
        <v>0.98341583889150708</v>
      </c>
      <c r="CH72" s="2">
        <v>2237</v>
      </c>
      <c r="CI72" s="3">
        <f t="shared" si="119"/>
        <v>0.98893012668250202</v>
      </c>
      <c r="CJ72" s="2">
        <v>2237</v>
      </c>
      <c r="CK72" s="3">
        <f t="shared" si="120"/>
        <v>0.9003874070445741</v>
      </c>
      <c r="CL72" s="1">
        <v>1500</v>
      </c>
    </row>
    <row r="73" spans="1:90" x14ac:dyDescent="0.3">
      <c r="A73" t="s">
        <v>188</v>
      </c>
      <c r="B73" t="s">
        <v>189</v>
      </c>
      <c r="C73">
        <v>71</v>
      </c>
      <c r="D73" s="9">
        <f t="shared" si="127"/>
        <v>88</v>
      </c>
      <c r="E73" s="9">
        <f t="shared" si="85"/>
        <v>3.2644264074376554</v>
      </c>
      <c r="F73" s="1">
        <v>36729501</v>
      </c>
      <c r="G73">
        <v>20850000</v>
      </c>
      <c r="H73" s="3">
        <f t="shared" si="126"/>
        <v>2.7799999999999998E-2</v>
      </c>
      <c r="I73">
        <v>13320000</v>
      </c>
      <c r="J73" s="3">
        <f t="shared" si="121"/>
        <v>2.1518578352180937E-2</v>
      </c>
      <c r="K73">
        <v>1045000</v>
      </c>
      <c r="L73" s="3">
        <f t="shared" si="122"/>
        <v>4.5633187772925764E-2</v>
      </c>
      <c r="M73">
        <v>282150</v>
      </c>
      <c r="N73" s="3">
        <f t="shared" si="123"/>
        <v>4.3778122575640031E-2</v>
      </c>
      <c r="O73">
        <v>177150</v>
      </c>
      <c r="P73" s="3">
        <f t="shared" si="124"/>
        <v>7.8384955752212396E-2</v>
      </c>
      <c r="Q73">
        <v>105000</v>
      </c>
      <c r="R73" s="3">
        <f t="shared" si="86"/>
        <v>1.9090909090909092E-2</v>
      </c>
      <c r="S73">
        <v>181</v>
      </c>
      <c r="T73" s="3">
        <f t="shared" si="87"/>
        <v>1.3152158116552827E-2</v>
      </c>
      <c r="U73">
        <v>46</v>
      </c>
      <c r="V73" s="3">
        <f t="shared" si="125"/>
        <v>2.0034843205574911E-2</v>
      </c>
      <c r="W73">
        <v>84</v>
      </c>
      <c r="X73" s="3">
        <f t="shared" si="88"/>
        <v>3.016157989228007E-2</v>
      </c>
      <c r="Y73">
        <v>52</v>
      </c>
      <c r="Z73" s="3">
        <f t="shared" si="89"/>
        <v>9.0608119881512451E-3</v>
      </c>
      <c r="AA73">
        <v>6</v>
      </c>
      <c r="AB73" s="3">
        <f t="shared" si="90"/>
        <v>2.1193924408336277E-3</v>
      </c>
      <c r="AC73">
        <v>70</v>
      </c>
      <c r="AD73" s="3">
        <f t="shared" si="91"/>
        <v>1.1541632316570486E-2</v>
      </c>
      <c r="AE73">
        <v>41</v>
      </c>
      <c r="AF73" s="3">
        <f t="shared" si="92"/>
        <v>4.3294614572333683E-2</v>
      </c>
      <c r="AG73">
        <v>360</v>
      </c>
      <c r="AH73" s="3">
        <f t="shared" si="93"/>
        <v>1.7807677087455481E-2</v>
      </c>
      <c r="AI73">
        <v>415</v>
      </c>
      <c r="AJ73" s="3">
        <f t="shared" si="94"/>
        <v>1.0106667965515561E-2</v>
      </c>
      <c r="AK73">
        <v>16</v>
      </c>
      <c r="AL73" s="3">
        <f t="shared" si="95"/>
        <v>2.6791694574681848E-3</v>
      </c>
      <c r="AM73">
        <v>750</v>
      </c>
      <c r="AN73" s="3">
        <f t="shared" si="96"/>
        <v>0.10115996762881035</v>
      </c>
      <c r="AO73">
        <v>25</v>
      </c>
      <c r="AP73" s="3">
        <f t="shared" si="97"/>
        <v>6.5910888478776693E-3</v>
      </c>
      <c r="AQ73">
        <v>18</v>
      </c>
      <c r="AR73" s="3">
        <f t="shared" si="98"/>
        <v>1.8614270941054809E-2</v>
      </c>
      <c r="AS73">
        <v>0</v>
      </c>
      <c r="AT73" s="3">
        <f t="shared" si="99"/>
        <v>0</v>
      </c>
      <c r="AU73">
        <v>0</v>
      </c>
      <c r="AV73" s="3">
        <f t="shared" si="100"/>
        <v>0</v>
      </c>
      <c r="AW73">
        <v>0</v>
      </c>
      <c r="AX73" s="3">
        <f t="shared" si="101"/>
        <v>0</v>
      </c>
      <c r="AY73">
        <v>0</v>
      </c>
      <c r="AZ73" s="3">
        <f t="shared" si="102"/>
        <v>0</v>
      </c>
      <c r="BA73">
        <v>0</v>
      </c>
      <c r="BB73" s="3">
        <f t="shared" si="103"/>
        <v>0</v>
      </c>
      <c r="BC73">
        <v>12</v>
      </c>
      <c r="BD73" s="3">
        <f t="shared" si="104"/>
        <v>2.7397260273972601E-2</v>
      </c>
      <c r="BE73">
        <v>0</v>
      </c>
      <c r="BF73" s="3">
        <f t="shared" si="105"/>
        <v>0</v>
      </c>
      <c r="BG73">
        <v>64770</v>
      </c>
      <c r="BH73" s="3">
        <f t="shared" si="106"/>
        <v>6.4065281899109792E-3</v>
      </c>
      <c r="BI73">
        <v>94500</v>
      </c>
      <c r="BJ73" s="3">
        <f t="shared" si="107"/>
        <v>4.9736842105263159E-3</v>
      </c>
      <c r="BK73">
        <v>5000000000</v>
      </c>
      <c r="BL73" s="3">
        <f t="shared" si="108"/>
        <v>1.6666666666666666E-2</v>
      </c>
      <c r="BM73">
        <v>11920000</v>
      </c>
      <c r="BN73" s="3">
        <f t="shared" si="109"/>
        <v>1.4790916987219257E-2</v>
      </c>
      <c r="BO73">
        <v>2</v>
      </c>
      <c r="BP73" s="3">
        <f t="shared" si="110"/>
        <v>3.1186652112895683E-4</v>
      </c>
      <c r="BQ73">
        <v>1</v>
      </c>
      <c r="BR73" s="3">
        <f t="shared" si="111"/>
        <v>4.1666666666666664E-2</v>
      </c>
      <c r="BS73">
        <v>11900</v>
      </c>
      <c r="BT73" s="3">
        <f t="shared" si="112"/>
        <v>1.8066957053780321E-3</v>
      </c>
      <c r="BU73">
        <v>5978</v>
      </c>
      <c r="BV73" s="3">
        <f t="shared" si="113"/>
        <v>2.6593473077333712E-2</v>
      </c>
      <c r="BW73">
        <v>74</v>
      </c>
      <c r="BX73" s="3">
        <f t="shared" si="114"/>
        <v>5.4762080959076444E-3</v>
      </c>
      <c r="BY73">
        <v>2470</v>
      </c>
      <c r="BZ73" s="3">
        <f t="shared" si="115"/>
        <v>4.2021095610751957E-3</v>
      </c>
      <c r="CA73" s="1">
        <v>51100</v>
      </c>
      <c r="CB73">
        <v>167</v>
      </c>
      <c r="CC73" s="3">
        <f t="shared" si="116"/>
        <v>5.4010349288486419E-5</v>
      </c>
      <c r="CD73">
        <v>176300</v>
      </c>
      <c r="CE73" s="3">
        <f t="shared" si="117"/>
        <v>8.2886694875411379E-3</v>
      </c>
      <c r="CF73" s="2">
        <v>1861484</v>
      </c>
      <c r="CG73" s="3">
        <f t="shared" si="118"/>
        <v>0.89113009395936726</v>
      </c>
      <c r="CH73" s="2">
        <v>853</v>
      </c>
      <c r="CI73" s="3">
        <f t="shared" si="119"/>
        <v>0.99577889944576403</v>
      </c>
      <c r="CJ73" s="2">
        <v>6819</v>
      </c>
      <c r="CK73" s="3">
        <f t="shared" si="120"/>
        <v>0.69635303023556128</v>
      </c>
      <c r="CL73" s="1">
        <v>1723</v>
      </c>
    </row>
    <row r="74" spans="1:90" x14ac:dyDescent="0.3">
      <c r="A74" t="s">
        <v>190</v>
      </c>
      <c r="B74" t="s">
        <v>191</v>
      </c>
      <c r="C74">
        <v>72</v>
      </c>
      <c r="D74" s="9">
        <f t="shared" si="127"/>
        <v>64</v>
      </c>
      <c r="E74" s="9">
        <f t="shared" si="85"/>
        <v>3.5974546383831214</v>
      </c>
      <c r="F74" s="1">
        <v>8185384</v>
      </c>
      <c r="G74">
        <v>3300000</v>
      </c>
      <c r="H74" s="3">
        <f t="shared" si="126"/>
        <v>4.4000000000000003E-3</v>
      </c>
      <c r="I74">
        <v>2825000</v>
      </c>
      <c r="J74" s="3">
        <f t="shared" si="121"/>
        <v>4.5638126009693051E-3</v>
      </c>
      <c r="K74">
        <v>143000</v>
      </c>
      <c r="L74" s="3">
        <f t="shared" si="122"/>
        <v>6.2445414847161571E-3</v>
      </c>
      <c r="M74">
        <v>170600</v>
      </c>
      <c r="N74" s="3">
        <f t="shared" si="123"/>
        <v>2.647013188518231E-2</v>
      </c>
      <c r="O74">
        <v>105600</v>
      </c>
      <c r="P74" s="3">
        <f t="shared" si="124"/>
        <v>4.6725663716814157E-2</v>
      </c>
      <c r="Q74">
        <v>65000</v>
      </c>
      <c r="R74" s="3">
        <f t="shared" si="86"/>
        <v>1.1818181818181818E-2</v>
      </c>
      <c r="S74">
        <v>260</v>
      </c>
      <c r="T74" s="3">
        <f t="shared" si="87"/>
        <v>1.8892602819357653E-2</v>
      </c>
      <c r="U74">
        <v>46</v>
      </c>
      <c r="V74" s="3">
        <f t="shared" si="125"/>
        <v>2.0034843205574911E-2</v>
      </c>
      <c r="W74">
        <v>74</v>
      </c>
      <c r="X74" s="3">
        <f t="shared" si="88"/>
        <v>2.6570915619389589E-2</v>
      </c>
      <c r="Y74">
        <v>96</v>
      </c>
      <c r="Z74" s="3">
        <f t="shared" si="89"/>
        <v>1.6727652901202299E-2</v>
      </c>
      <c r="AA74">
        <v>58</v>
      </c>
      <c r="AB74" s="3">
        <f t="shared" si="90"/>
        <v>2.0487460261391734E-2</v>
      </c>
      <c r="AC74">
        <v>134</v>
      </c>
      <c r="AD74" s="3">
        <f t="shared" si="91"/>
        <v>2.2093981863149217E-2</v>
      </c>
      <c r="AE74">
        <v>47</v>
      </c>
      <c r="AF74" s="3">
        <f t="shared" si="92"/>
        <v>4.9630411826821541E-2</v>
      </c>
      <c r="AG74">
        <v>1321</v>
      </c>
      <c r="AH74" s="3">
        <f t="shared" si="93"/>
        <v>6.5344281757024142E-2</v>
      </c>
      <c r="AI74">
        <v>2547</v>
      </c>
      <c r="AJ74" s="3">
        <f t="shared" si="94"/>
        <v>6.2028152549802734E-2</v>
      </c>
      <c r="AK74">
        <v>461</v>
      </c>
      <c r="AL74" s="3">
        <f t="shared" si="95"/>
        <v>7.7193569993302083E-2</v>
      </c>
      <c r="AM74">
        <v>72</v>
      </c>
      <c r="AN74" s="3">
        <f t="shared" si="96"/>
        <v>9.711356892365795E-3</v>
      </c>
      <c r="AO74">
        <v>88</v>
      </c>
      <c r="AP74" s="3">
        <f t="shared" si="97"/>
        <v>2.3200632744529395E-2</v>
      </c>
      <c r="AQ74">
        <v>37</v>
      </c>
      <c r="AR74" s="3">
        <f t="shared" si="98"/>
        <v>3.8262668045501554E-2</v>
      </c>
      <c r="AS74">
        <v>0</v>
      </c>
      <c r="AT74" s="3">
        <f t="shared" si="99"/>
        <v>0</v>
      </c>
      <c r="AU74">
        <v>0</v>
      </c>
      <c r="AV74" s="3">
        <f t="shared" si="100"/>
        <v>0</v>
      </c>
      <c r="AW74">
        <v>0</v>
      </c>
      <c r="AX74" s="3">
        <f t="shared" si="101"/>
        <v>0</v>
      </c>
      <c r="AY74">
        <v>0</v>
      </c>
      <c r="AZ74" s="3">
        <f t="shared" si="102"/>
        <v>0</v>
      </c>
      <c r="BA74">
        <v>0</v>
      </c>
      <c r="BB74" s="3">
        <f t="shared" si="103"/>
        <v>0</v>
      </c>
      <c r="BC74">
        <v>27</v>
      </c>
      <c r="BD74" s="3">
        <f t="shared" si="104"/>
        <v>6.1643835616438353E-2</v>
      </c>
      <c r="BE74">
        <v>0</v>
      </c>
      <c r="BF74" s="3">
        <f t="shared" si="105"/>
        <v>0</v>
      </c>
      <c r="BG74">
        <v>50</v>
      </c>
      <c r="BH74" s="3">
        <f t="shared" si="106"/>
        <v>4.9455984174085064E-6</v>
      </c>
      <c r="BI74">
        <v>111000</v>
      </c>
      <c r="BJ74" s="3">
        <f t="shared" si="107"/>
        <v>5.842105263157895E-3</v>
      </c>
      <c r="BK74">
        <v>1000000</v>
      </c>
      <c r="BL74" s="3">
        <f t="shared" si="108"/>
        <v>3.3333333333333333E-6</v>
      </c>
      <c r="BM74">
        <v>2205000</v>
      </c>
      <c r="BN74" s="3">
        <f t="shared" si="109"/>
        <v>2.736071472887455E-3</v>
      </c>
      <c r="BO74">
        <v>12</v>
      </c>
      <c r="BP74" s="3">
        <f t="shared" si="110"/>
        <v>1.8711991267737408E-3</v>
      </c>
      <c r="BQ74">
        <v>1</v>
      </c>
      <c r="BR74" s="3">
        <f t="shared" si="111"/>
        <v>4.1666666666666664E-2</v>
      </c>
      <c r="BS74">
        <v>7891</v>
      </c>
      <c r="BT74" s="3">
        <f t="shared" si="112"/>
        <v>1.1980366227847103E-3</v>
      </c>
      <c r="BU74">
        <v>507</v>
      </c>
      <c r="BV74" s="3">
        <f t="shared" si="113"/>
        <v>2.2554183422897611E-3</v>
      </c>
      <c r="BW74">
        <v>18</v>
      </c>
      <c r="BX74" s="3">
        <f t="shared" si="114"/>
        <v>1.332050617923481E-3</v>
      </c>
      <c r="BY74">
        <v>1500</v>
      </c>
      <c r="BZ74" s="3">
        <f t="shared" si="115"/>
        <v>2.5518883974140864E-3</v>
      </c>
      <c r="CA74" s="1">
        <v>26660</v>
      </c>
      <c r="CB74">
        <v>15180</v>
      </c>
      <c r="CC74" s="3">
        <f t="shared" si="116"/>
        <v>4.9094437257438551E-3</v>
      </c>
      <c r="CD74">
        <v>86190</v>
      </c>
      <c r="CE74" s="3">
        <f t="shared" si="117"/>
        <v>4.0521861777150919E-3</v>
      </c>
      <c r="CF74" s="2">
        <v>89342</v>
      </c>
      <c r="CG74" s="3">
        <f t="shared" si="118"/>
        <v>0.99477478444860001</v>
      </c>
      <c r="CH74" s="2">
        <v>26</v>
      </c>
      <c r="CI74" s="3">
        <f t="shared" si="119"/>
        <v>0.99987133808392714</v>
      </c>
      <c r="CJ74" s="2">
        <v>1744</v>
      </c>
      <c r="CK74" s="3">
        <f t="shared" si="120"/>
        <v>0.92234047290377164</v>
      </c>
      <c r="CL74" s="1">
        <v>540</v>
      </c>
    </row>
    <row r="75" spans="1:90" x14ac:dyDescent="0.3">
      <c r="A75" t="s">
        <v>192</v>
      </c>
      <c r="B75" t="s">
        <v>193</v>
      </c>
      <c r="C75">
        <v>73</v>
      </c>
      <c r="D75" s="9">
        <f t="shared" si="127"/>
        <v>67</v>
      </c>
      <c r="E75" s="9">
        <f t="shared" si="85"/>
        <v>3.5097368016650572</v>
      </c>
      <c r="F75" s="1">
        <v>6541948</v>
      </c>
      <c r="G75">
        <v>3500000</v>
      </c>
      <c r="H75" s="3">
        <f t="shared" si="126"/>
        <v>4.6666666666666671E-3</v>
      </c>
      <c r="I75">
        <v>3000000</v>
      </c>
      <c r="J75" s="3">
        <f t="shared" si="121"/>
        <v>4.8465266558966073E-3</v>
      </c>
      <c r="K75">
        <v>117000</v>
      </c>
      <c r="L75" s="3">
        <f t="shared" si="122"/>
        <v>5.1091703056768559E-3</v>
      </c>
      <c r="M75">
        <v>100000</v>
      </c>
      <c r="N75" s="3">
        <f t="shared" si="123"/>
        <v>1.5515903801396431E-2</v>
      </c>
      <c r="O75">
        <v>35000</v>
      </c>
      <c r="P75" s="3">
        <f t="shared" si="124"/>
        <v>1.5486725663716814E-2</v>
      </c>
      <c r="Q75">
        <v>65000</v>
      </c>
      <c r="R75" s="3">
        <f t="shared" si="86"/>
        <v>1.1818181818181818E-2</v>
      </c>
      <c r="S75">
        <v>121</v>
      </c>
      <c r="T75" s="3">
        <f t="shared" si="87"/>
        <v>8.792326696701061E-3</v>
      </c>
      <c r="U75">
        <v>21</v>
      </c>
      <c r="V75" s="3">
        <f t="shared" si="125"/>
        <v>9.1463414634146336E-3</v>
      </c>
      <c r="W75">
        <v>20</v>
      </c>
      <c r="X75" s="3">
        <f t="shared" si="88"/>
        <v>7.1813285457809697E-3</v>
      </c>
      <c r="Y75">
        <v>25</v>
      </c>
      <c r="Z75" s="3">
        <f t="shared" si="89"/>
        <v>4.3561596096880987E-3</v>
      </c>
      <c r="AA75">
        <v>63</v>
      </c>
      <c r="AB75" s="3">
        <f t="shared" si="90"/>
        <v>2.225362062875309E-2</v>
      </c>
      <c r="AC75">
        <v>26</v>
      </c>
      <c r="AD75" s="3">
        <f t="shared" si="91"/>
        <v>4.2868920032976092E-3</v>
      </c>
      <c r="AE75">
        <v>8</v>
      </c>
      <c r="AF75" s="3">
        <f t="shared" si="92"/>
        <v>8.4477296726504746E-3</v>
      </c>
      <c r="AG75">
        <v>340</v>
      </c>
      <c r="AH75" s="3">
        <f t="shared" si="93"/>
        <v>1.6818361693707953E-2</v>
      </c>
      <c r="AI75">
        <v>699</v>
      </c>
      <c r="AJ75" s="3">
        <f t="shared" si="94"/>
        <v>1.7023038332278018E-2</v>
      </c>
      <c r="AK75">
        <v>50</v>
      </c>
      <c r="AL75" s="3">
        <f t="shared" si="95"/>
        <v>8.3724045545880785E-3</v>
      </c>
      <c r="AM75">
        <v>150</v>
      </c>
      <c r="AN75" s="3">
        <f t="shared" si="96"/>
        <v>2.0231993525762073E-2</v>
      </c>
      <c r="AO75">
        <v>100</v>
      </c>
      <c r="AP75" s="3">
        <f t="shared" si="97"/>
        <v>2.6364355391510677E-2</v>
      </c>
      <c r="AQ75">
        <v>5</v>
      </c>
      <c r="AR75" s="3">
        <f t="shared" si="98"/>
        <v>5.170630816959669E-3</v>
      </c>
      <c r="AS75">
        <v>0</v>
      </c>
      <c r="AT75" s="3">
        <f t="shared" si="99"/>
        <v>0</v>
      </c>
      <c r="AU75">
        <v>1</v>
      </c>
      <c r="AV75" s="3">
        <f t="shared" si="100"/>
        <v>1.9607843137254902E-2</v>
      </c>
      <c r="AW75">
        <v>0</v>
      </c>
      <c r="AX75" s="3">
        <f t="shared" si="101"/>
        <v>0</v>
      </c>
      <c r="AY75">
        <v>1</v>
      </c>
      <c r="AZ75" s="3">
        <f t="shared" si="102"/>
        <v>1.2345679012345678E-2</v>
      </c>
      <c r="BA75">
        <v>0</v>
      </c>
      <c r="BB75" s="3">
        <f t="shared" si="103"/>
        <v>0</v>
      </c>
      <c r="BC75">
        <v>0</v>
      </c>
      <c r="BD75" s="3">
        <f t="shared" si="104"/>
        <v>0</v>
      </c>
      <c r="BE75">
        <v>5</v>
      </c>
      <c r="BF75" s="3">
        <f t="shared" si="105"/>
        <v>0.10869565217391304</v>
      </c>
      <c r="BG75">
        <v>470000</v>
      </c>
      <c r="BH75" s="3">
        <f t="shared" si="106"/>
        <v>4.6488625123639958E-2</v>
      </c>
      <c r="BI75">
        <v>250000</v>
      </c>
      <c r="BJ75" s="3">
        <f t="shared" si="107"/>
        <v>1.3157894736842105E-2</v>
      </c>
      <c r="BK75">
        <v>48360000000</v>
      </c>
      <c r="BL75" s="3">
        <f t="shared" si="108"/>
        <v>0.16120000000000001</v>
      </c>
      <c r="BM75">
        <v>1153000</v>
      </c>
      <c r="BN75" s="3">
        <f t="shared" si="109"/>
        <v>1.4306985978409232E-3</v>
      </c>
      <c r="BO75">
        <v>23</v>
      </c>
      <c r="BP75" s="3">
        <f t="shared" si="110"/>
        <v>3.5864649929830033E-3</v>
      </c>
      <c r="BQ75">
        <v>4</v>
      </c>
      <c r="BR75" s="3">
        <f t="shared" si="111"/>
        <v>0.16666666666666666</v>
      </c>
      <c r="BS75">
        <v>100024</v>
      </c>
      <c r="BT75" s="3">
        <f t="shared" si="112"/>
        <v>1.5185960607960696E-2</v>
      </c>
      <c r="BU75">
        <v>2757</v>
      </c>
      <c r="BV75" s="3">
        <f t="shared" si="113"/>
        <v>1.2264671340617104E-2</v>
      </c>
      <c r="BW75">
        <v>146</v>
      </c>
      <c r="BX75" s="3">
        <f t="shared" si="114"/>
        <v>1.0804410567601569E-2</v>
      </c>
      <c r="BY75">
        <v>3000</v>
      </c>
      <c r="BZ75" s="3">
        <f t="shared" si="115"/>
        <v>5.1037767948281729E-3</v>
      </c>
      <c r="CA75" s="1">
        <v>3531</v>
      </c>
      <c r="CB75">
        <v>55400</v>
      </c>
      <c r="CC75" s="3">
        <f t="shared" si="116"/>
        <v>1.7917205692108668E-2</v>
      </c>
      <c r="CD75">
        <v>90890</v>
      </c>
      <c r="CE75" s="3">
        <f t="shared" si="117"/>
        <v>4.2731546779501643E-3</v>
      </c>
      <c r="CF75" s="2">
        <v>1759540</v>
      </c>
      <c r="CG75" s="3">
        <f t="shared" si="118"/>
        <v>0.89709234434744811</v>
      </c>
      <c r="CH75" s="2">
        <v>1770</v>
      </c>
      <c r="CI75" s="3">
        <f t="shared" si="119"/>
        <v>0.99124109263657956</v>
      </c>
      <c r="CJ75" s="2">
        <v>4339</v>
      </c>
      <c r="CK75" s="3">
        <f t="shared" si="120"/>
        <v>0.80678630271184937</v>
      </c>
      <c r="CL75" s="1" t="s">
        <v>77</v>
      </c>
    </row>
    <row r="76" spans="1:90" x14ac:dyDescent="0.3">
      <c r="A76" t="s">
        <v>194</v>
      </c>
      <c r="B76" t="s">
        <v>195</v>
      </c>
      <c r="C76">
        <v>74</v>
      </c>
      <c r="D76" s="9">
        <f t="shared" si="127"/>
        <v>108</v>
      </c>
      <c r="E76" s="9">
        <f t="shared" si="85"/>
        <v>3.1152727330674801</v>
      </c>
      <c r="F76" s="1">
        <v>5445802</v>
      </c>
      <c r="G76">
        <v>2780000</v>
      </c>
      <c r="H76" s="3">
        <f t="shared" si="126"/>
        <v>3.7066666666666667E-3</v>
      </c>
      <c r="I76">
        <v>2300000</v>
      </c>
      <c r="J76" s="3">
        <f t="shared" si="121"/>
        <v>3.715670436187399E-3</v>
      </c>
      <c r="K76">
        <v>62000</v>
      </c>
      <c r="L76" s="3">
        <f t="shared" si="122"/>
        <v>2.7074235807860261E-3</v>
      </c>
      <c r="M76">
        <v>14675</v>
      </c>
      <c r="N76" s="3">
        <f t="shared" si="123"/>
        <v>2.2769588828549263E-3</v>
      </c>
      <c r="O76">
        <v>14675</v>
      </c>
      <c r="P76" s="3">
        <f t="shared" si="124"/>
        <v>6.4933628318584067E-3</v>
      </c>
      <c r="Q76">
        <v>0</v>
      </c>
      <c r="R76" s="3">
        <f t="shared" si="86"/>
        <v>0</v>
      </c>
      <c r="S76">
        <v>42</v>
      </c>
      <c r="T76" s="3">
        <f t="shared" si="87"/>
        <v>3.0518819938962359E-3</v>
      </c>
      <c r="U76">
        <v>12</v>
      </c>
      <c r="V76" s="3">
        <f t="shared" si="125"/>
        <v>5.2264808362369342E-3</v>
      </c>
      <c r="W76">
        <v>12</v>
      </c>
      <c r="X76" s="3">
        <f t="shared" si="88"/>
        <v>4.3087971274685813E-3</v>
      </c>
      <c r="Y76">
        <v>24</v>
      </c>
      <c r="Z76" s="3">
        <f t="shared" si="89"/>
        <v>4.1819132253005748E-3</v>
      </c>
      <c r="AA76">
        <v>7</v>
      </c>
      <c r="AB76" s="3">
        <f t="shared" si="90"/>
        <v>2.4726245143058992E-3</v>
      </c>
      <c r="AC76">
        <v>16</v>
      </c>
      <c r="AD76" s="3">
        <f t="shared" si="91"/>
        <v>2.6380873866446827E-3</v>
      </c>
      <c r="AE76">
        <v>0</v>
      </c>
      <c r="AF76" s="3">
        <f t="shared" si="92"/>
        <v>0</v>
      </c>
      <c r="AG76">
        <v>22</v>
      </c>
      <c r="AH76" s="3">
        <f t="shared" si="93"/>
        <v>1.0882469331222793E-3</v>
      </c>
      <c r="AI76">
        <v>478</v>
      </c>
      <c r="AJ76" s="3">
        <f t="shared" si="94"/>
        <v>1.1640933222931178E-2</v>
      </c>
      <c r="AK76">
        <v>16</v>
      </c>
      <c r="AL76" s="3">
        <f t="shared" si="95"/>
        <v>2.6791694574681848E-3</v>
      </c>
      <c r="AM76">
        <v>0</v>
      </c>
      <c r="AN76" s="3">
        <f t="shared" si="96"/>
        <v>0</v>
      </c>
      <c r="AO76">
        <v>17</v>
      </c>
      <c r="AP76" s="3">
        <f t="shared" si="97"/>
        <v>4.4819404165568153E-3</v>
      </c>
      <c r="AQ76">
        <v>0</v>
      </c>
      <c r="AR76" s="3">
        <f t="shared" si="98"/>
        <v>0</v>
      </c>
      <c r="AS76">
        <v>0</v>
      </c>
      <c r="AT76" s="3">
        <f t="shared" si="99"/>
        <v>0</v>
      </c>
      <c r="AU76">
        <v>0</v>
      </c>
      <c r="AV76" s="3">
        <f t="shared" si="100"/>
        <v>0</v>
      </c>
      <c r="AW76">
        <v>0</v>
      </c>
      <c r="AX76" s="3">
        <f t="shared" si="101"/>
        <v>0</v>
      </c>
      <c r="AY76">
        <v>0</v>
      </c>
      <c r="AZ76" s="3">
        <f t="shared" si="102"/>
        <v>0</v>
      </c>
      <c r="BA76">
        <v>0</v>
      </c>
      <c r="BB76" s="3">
        <f t="shared" si="103"/>
        <v>0</v>
      </c>
      <c r="BC76">
        <v>0</v>
      </c>
      <c r="BD76" s="3">
        <f t="shared" si="104"/>
        <v>0</v>
      </c>
      <c r="BE76">
        <v>0</v>
      </c>
      <c r="BF76" s="3">
        <f t="shared" si="105"/>
        <v>0</v>
      </c>
      <c r="BG76">
        <v>200</v>
      </c>
      <c r="BH76" s="3">
        <f t="shared" si="106"/>
        <v>1.9782393669634026E-5</v>
      </c>
      <c r="BI76">
        <v>71000</v>
      </c>
      <c r="BJ76" s="3">
        <f t="shared" si="107"/>
        <v>3.7368421052631578E-3</v>
      </c>
      <c r="BK76">
        <v>9000000</v>
      </c>
      <c r="BL76" s="3">
        <f t="shared" si="108"/>
        <v>3.0000000000000001E-5</v>
      </c>
      <c r="BM76">
        <v>2724000</v>
      </c>
      <c r="BN76" s="3">
        <f t="shared" si="109"/>
        <v>3.3800719692269514E-3</v>
      </c>
      <c r="BO76">
        <v>11</v>
      </c>
      <c r="BP76" s="3">
        <f t="shared" si="110"/>
        <v>1.7152658662092624E-3</v>
      </c>
      <c r="BQ76">
        <v>2</v>
      </c>
      <c r="BR76" s="3">
        <f t="shared" si="111"/>
        <v>8.3333333333333329E-2</v>
      </c>
      <c r="BS76">
        <v>43916</v>
      </c>
      <c r="BT76" s="3">
        <f t="shared" si="112"/>
        <v>6.6674662686875344E-3</v>
      </c>
      <c r="BU76">
        <v>3622</v>
      </c>
      <c r="BV76" s="3">
        <f t="shared" si="113"/>
        <v>1.6112673048862949E-2</v>
      </c>
      <c r="BW76">
        <v>35</v>
      </c>
      <c r="BX76" s="3">
        <f t="shared" si="114"/>
        <v>2.5900984237401019E-3</v>
      </c>
      <c r="BY76">
        <v>1025</v>
      </c>
      <c r="BZ76" s="3">
        <f t="shared" si="115"/>
        <v>1.7437904048996258E-3</v>
      </c>
      <c r="CA76" s="1">
        <v>75040</v>
      </c>
      <c r="CB76">
        <v>2657</v>
      </c>
      <c r="CC76" s="3">
        <f t="shared" si="116"/>
        <v>8.5931435963777488E-4</v>
      </c>
      <c r="CD76">
        <v>169100</v>
      </c>
      <c r="CE76" s="3">
        <f t="shared" si="117"/>
        <v>7.9501645510108125E-3</v>
      </c>
      <c r="CF76" s="2">
        <v>49035</v>
      </c>
      <c r="CG76" s="3">
        <f t="shared" si="118"/>
        <v>0.99713216130640803</v>
      </c>
      <c r="CH76" s="2">
        <v>0</v>
      </c>
      <c r="CI76" s="3">
        <f t="shared" si="119"/>
        <v>1</v>
      </c>
      <c r="CJ76" s="2">
        <v>1587</v>
      </c>
      <c r="CK76" s="3">
        <f t="shared" si="120"/>
        <v>0.92933161152424637</v>
      </c>
      <c r="CL76" s="1">
        <v>172</v>
      </c>
    </row>
    <row r="77" spans="1:90" x14ac:dyDescent="0.3">
      <c r="A77" t="s">
        <v>196</v>
      </c>
      <c r="B77" t="s">
        <v>197</v>
      </c>
      <c r="C77">
        <v>75</v>
      </c>
      <c r="D77" s="9">
        <f t="shared" si="127"/>
        <v>45</v>
      </c>
      <c r="E77" s="9">
        <f t="shared" si="85"/>
        <v>4.0765818004892926</v>
      </c>
      <c r="F77" s="1">
        <v>11179995</v>
      </c>
      <c r="G77">
        <v>6000000</v>
      </c>
      <c r="H77" s="3">
        <f t="shared" si="126"/>
        <v>8.0000000000000002E-3</v>
      </c>
      <c r="I77">
        <v>4825000</v>
      </c>
      <c r="J77" s="3">
        <f t="shared" si="121"/>
        <v>7.7948303715670436E-3</v>
      </c>
      <c r="K77">
        <v>142000</v>
      </c>
      <c r="L77" s="3">
        <f t="shared" si="122"/>
        <v>6.2008733624454148E-3</v>
      </c>
      <c r="M77">
        <v>1256000</v>
      </c>
      <c r="N77" s="3">
        <f t="shared" si="123"/>
        <v>0.19487975174553918</v>
      </c>
      <c r="O77">
        <v>69500</v>
      </c>
      <c r="P77" s="3">
        <f t="shared" si="124"/>
        <v>3.0752212389380532E-2</v>
      </c>
      <c r="Q77">
        <v>1186500</v>
      </c>
      <c r="R77" s="3">
        <f t="shared" si="86"/>
        <v>0.21572727272727274</v>
      </c>
      <c r="S77">
        <v>80</v>
      </c>
      <c r="T77" s="3">
        <f t="shared" si="87"/>
        <v>5.8131085598023546E-3</v>
      </c>
      <c r="U77">
        <v>39</v>
      </c>
      <c r="V77" s="3">
        <f t="shared" si="125"/>
        <v>1.6986062717770034E-2</v>
      </c>
      <c r="W77">
        <v>39</v>
      </c>
      <c r="X77" s="3">
        <f t="shared" si="88"/>
        <v>1.400359066427289E-2</v>
      </c>
      <c r="Y77">
        <v>12</v>
      </c>
      <c r="Z77" s="3">
        <f t="shared" si="89"/>
        <v>2.0909566126502874E-3</v>
      </c>
      <c r="AA77">
        <v>25</v>
      </c>
      <c r="AB77" s="3">
        <f t="shared" si="90"/>
        <v>8.8308018368067828E-3</v>
      </c>
      <c r="AC77">
        <v>14</v>
      </c>
      <c r="AD77" s="3">
        <f t="shared" si="91"/>
        <v>2.3083264633140975E-3</v>
      </c>
      <c r="AE77">
        <v>4</v>
      </c>
      <c r="AF77" s="3">
        <f t="shared" si="92"/>
        <v>4.2238648363252373E-3</v>
      </c>
      <c r="AG77">
        <v>50</v>
      </c>
      <c r="AH77" s="3">
        <f t="shared" si="93"/>
        <v>2.4732884843688169E-3</v>
      </c>
      <c r="AI77">
        <v>1830</v>
      </c>
      <c r="AJ77" s="3">
        <f t="shared" si="94"/>
        <v>4.4566752715405972E-2</v>
      </c>
      <c r="AK77">
        <v>100</v>
      </c>
      <c r="AL77" s="3">
        <f t="shared" si="95"/>
        <v>1.6744809109176157E-2</v>
      </c>
      <c r="AM77">
        <v>250</v>
      </c>
      <c r="AN77" s="3">
        <f t="shared" si="96"/>
        <v>3.3719989209603451E-2</v>
      </c>
      <c r="AO77">
        <v>100</v>
      </c>
      <c r="AP77" s="3">
        <f t="shared" si="97"/>
        <v>2.6364355391510677E-2</v>
      </c>
      <c r="AQ77">
        <v>12</v>
      </c>
      <c r="AR77" s="3">
        <f t="shared" si="98"/>
        <v>1.2409513960703205E-2</v>
      </c>
      <c r="AS77">
        <v>0</v>
      </c>
      <c r="AT77" s="3">
        <f t="shared" si="99"/>
        <v>0</v>
      </c>
      <c r="AU77">
        <v>0</v>
      </c>
      <c r="AV77" s="3">
        <f t="shared" si="100"/>
        <v>0</v>
      </c>
      <c r="AW77">
        <v>0</v>
      </c>
      <c r="AX77" s="3">
        <f t="shared" si="101"/>
        <v>0</v>
      </c>
      <c r="AY77">
        <v>0</v>
      </c>
      <c r="AZ77" s="3">
        <f t="shared" si="102"/>
        <v>0</v>
      </c>
      <c r="BA77">
        <v>0</v>
      </c>
      <c r="BB77" s="3">
        <f t="shared" si="103"/>
        <v>0</v>
      </c>
      <c r="BC77">
        <v>12</v>
      </c>
      <c r="BD77" s="3">
        <f t="shared" si="104"/>
        <v>2.7397260273972601E-2</v>
      </c>
      <c r="BE77">
        <v>0</v>
      </c>
      <c r="BF77" s="3">
        <f t="shared" si="105"/>
        <v>0</v>
      </c>
      <c r="BG77">
        <v>50000</v>
      </c>
      <c r="BH77" s="3">
        <f t="shared" si="106"/>
        <v>4.945598417408506E-3</v>
      </c>
      <c r="BI77">
        <v>171000</v>
      </c>
      <c r="BJ77" s="3">
        <f t="shared" si="107"/>
        <v>8.9999999999999993E-3</v>
      </c>
      <c r="BK77">
        <v>124000000</v>
      </c>
      <c r="BL77" s="3">
        <f t="shared" si="108"/>
        <v>4.1333333333333332E-4</v>
      </c>
      <c r="BM77">
        <v>5117000</v>
      </c>
      <c r="BN77" s="3">
        <f t="shared" si="109"/>
        <v>6.3494230053356493E-3</v>
      </c>
      <c r="BO77">
        <v>3</v>
      </c>
      <c r="BP77" s="3">
        <f t="shared" si="110"/>
        <v>4.6779978169343521E-4</v>
      </c>
      <c r="BQ77">
        <v>8</v>
      </c>
      <c r="BR77" s="3">
        <f t="shared" si="111"/>
        <v>0.33333333333333331</v>
      </c>
      <c r="BS77">
        <v>60858</v>
      </c>
      <c r="BT77" s="3">
        <f t="shared" si="112"/>
        <v>9.2396543897391836E-3</v>
      </c>
      <c r="BU77">
        <v>8203</v>
      </c>
      <c r="BV77" s="3">
        <f t="shared" si="113"/>
        <v>3.6491512153457417E-2</v>
      </c>
      <c r="BW77">
        <v>133</v>
      </c>
      <c r="BX77" s="3">
        <f t="shared" si="114"/>
        <v>9.8423740102123874E-3</v>
      </c>
      <c r="BY77">
        <v>700</v>
      </c>
      <c r="BZ77" s="3">
        <f t="shared" si="115"/>
        <v>1.1908812521265737E-3</v>
      </c>
      <c r="CA77" s="1">
        <v>26320</v>
      </c>
      <c r="CB77">
        <v>13100</v>
      </c>
      <c r="CC77" s="3">
        <f t="shared" si="116"/>
        <v>4.236739974126779E-3</v>
      </c>
      <c r="CD77">
        <v>128500</v>
      </c>
      <c r="CE77" s="3">
        <f t="shared" si="117"/>
        <v>6.0413728255759285E-3</v>
      </c>
      <c r="CF77" s="2">
        <v>110860</v>
      </c>
      <c r="CG77" s="3">
        <f t="shared" si="118"/>
        <v>0.99351629249369611</v>
      </c>
      <c r="CH77" s="2">
        <v>3735</v>
      </c>
      <c r="CI77" s="3">
        <f t="shared" si="119"/>
        <v>0.98151722090261284</v>
      </c>
      <c r="CJ77" s="2">
        <v>29</v>
      </c>
      <c r="CK77" s="3">
        <f t="shared" si="120"/>
        <v>0.99870864318475305</v>
      </c>
      <c r="CL77" s="1">
        <v>240</v>
      </c>
    </row>
    <row r="78" spans="1:90" x14ac:dyDescent="0.3">
      <c r="A78" t="s">
        <v>198</v>
      </c>
      <c r="B78" t="s">
        <v>199</v>
      </c>
      <c r="C78">
        <v>76</v>
      </c>
      <c r="D78" s="9">
        <f t="shared" si="127"/>
        <v>89</v>
      </c>
      <c r="E78" s="9">
        <f t="shared" si="85"/>
        <v>3.2494395196500876</v>
      </c>
      <c r="F78" s="1">
        <v>81331050</v>
      </c>
      <c r="G78">
        <v>16000000</v>
      </c>
      <c r="H78" s="3">
        <f t="shared" si="126"/>
        <v>2.1333333333333333E-2</v>
      </c>
      <c r="I78">
        <v>20500000</v>
      </c>
      <c r="J78" s="3">
        <f t="shared" si="121"/>
        <v>3.3117932148626815E-2</v>
      </c>
      <c r="K78">
        <v>1750000</v>
      </c>
      <c r="L78" s="3">
        <f t="shared" si="122"/>
        <v>7.6419213973799124E-2</v>
      </c>
      <c r="M78">
        <v>144625</v>
      </c>
      <c r="N78" s="3">
        <f t="shared" si="123"/>
        <v>2.2439875872769587E-2</v>
      </c>
      <c r="O78">
        <v>144625</v>
      </c>
      <c r="P78" s="3">
        <f t="shared" si="124"/>
        <v>6.3993362831858414E-2</v>
      </c>
      <c r="Q78">
        <v>0</v>
      </c>
      <c r="R78" s="3">
        <f t="shared" si="86"/>
        <v>0</v>
      </c>
      <c r="S78">
        <v>41</v>
      </c>
      <c r="T78" s="3">
        <f t="shared" si="87"/>
        <v>2.9792181368987064E-3</v>
      </c>
      <c r="U78">
        <v>2</v>
      </c>
      <c r="V78" s="3">
        <f t="shared" si="125"/>
        <v>8.710801393728223E-4</v>
      </c>
      <c r="W78">
        <v>6</v>
      </c>
      <c r="X78" s="3">
        <f t="shared" si="88"/>
        <v>2.1543985637342907E-3</v>
      </c>
      <c r="Y78">
        <v>36</v>
      </c>
      <c r="Z78" s="3">
        <f t="shared" si="89"/>
        <v>6.2728698379508627E-3</v>
      </c>
      <c r="AA78">
        <v>0</v>
      </c>
      <c r="AB78" s="3">
        <f t="shared" si="90"/>
        <v>0</v>
      </c>
      <c r="AC78">
        <v>27</v>
      </c>
      <c r="AD78" s="3">
        <f t="shared" si="91"/>
        <v>4.4517724649629021E-3</v>
      </c>
      <c r="AE78">
        <v>8</v>
      </c>
      <c r="AF78" s="3">
        <f t="shared" si="92"/>
        <v>8.4477296726504746E-3</v>
      </c>
      <c r="AG78">
        <v>200</v>
      </c>
      <c r="AH78" s="3">
        <f t="shared" si="93"/>
        <v>9.8931539374752676E-3</v>
      </c>
      <c r="AI78">
        <v>210</v>
      </c>
      <c r="AJ78" s="3">
        <f t="shared" si="94"/>
        <v>5.114217524718718E-3</v>
      </c>
      <c r="AK78">
        <v>0</v>
      </c>
      <c r="AL78" s="3">
        <f t="shared" si="95"/>
        <v>0</v>
      </c>
      <c r="AM78">
        <v>100</v>
      </c>
      <c r="AN78" s="3">
        <f t="shared" si="96"/>
        <v>1.3487995683841382E-2</v>
      </c>
      <c r="AO78">
        <v>0</v>
      </c>
      <c r="AP78" s="3">
        <f t="shared" si="97"/>
        <v>0</v>
      </c>
      <c r="AQ78">
        <v>20</v>
      </c>
      <c r="AR78" s="3">
        <f t="shared" si="98"/>
        <v>2.0682523267838676E-2</v>
      </c>
      <c r="AS78">
        <v>0</v>
      </c>
      <c r="AT78" s="3">
        <f t="shared" si="99"/>
        <v>0</v>
      </c>
      <c r="AU78">
        <v>0</v>
      </c>
      <c r="AV78" s="3">
        <f t="shared" si="100"/>
        <v>0</v>
      </c>
      <c r="AW78">
        <v>0</v>
      </c>
      <c r="AX78" s="3">
        <f t="shared" si="101"/>
        <v>0</v>
      </c>
      <c r="AY78">
        <v>0</v>
      </c>
      <c r="AZ78" s="3">
        <f t="shared" si="102"/>
        <v>0</v>
      </c>
      <c r="BA78">
        <v>0</v>
      </c>
      <c r="BB78" s="3">
        <f t="shared" si="103"/>
        <v>0</v>
      </c>
      <c r="BC78">
        <v>1</v>
      </c>
      <c r="BD78" s="3">
        <f t="shared" si="104"/>
        <v>2.2831050228310501E-3</v>
      </c>
      <c r="BE78">
        <v>0</v>
      </c>
      <c r="BF78" s="3">
        <f t="shared" si="105"/>
        <v>0</v>
      </c>
      <c r="BG78">
        <v>20000</v>
      </c>
      <c r="BH78" s="3">
        <f t="shared" si="106"/>
        <v>1.9782393669634025E-3</v>
      </c>
      <c r="BI78">
        <v>9320</v>
      </c>
      <c r="BJ78" s="3">
        <f t="shared" si="107"/>
        <v>4.905263157894737E-4</v>
      </c>
      <c r="BK78">
        <v>180000000</v>
      </c>
      <c r="BL78" s="3">
        <f t="shared" si="108"/>
        <v>5.9999999999999995E-4</v>
      </c>
      <c r="BM78">
        <v>31080000</v>
      </c>
      <c r="BN78" s="3">
        <f t="shared" si="109"/>
        <v>3.8565578855937463E-2</v>
      </c>
      <c r="BO78">
        <v>1</v>
      </c>
      <c r="BP78" s="3">
        <f t="shared" si="110"/>
        <v>1.5593326056447841E-4</v>
      </c>
      <c r="BQ78">
        <v>11</v>
      </c>
      <c r="BR78" s="3">
        <f t="shared" si="111"/>
        <v>0.45833333333333331</v>
      </c>
      <c r="BS78">
        <v>153497</v>
      </c>
      <c r="BT78" s="3">
        <f t="shared" si="112"/>
        <v>2.3304400898185865E-2</v>
      </c>
      <c r="BU78">
        <v>4007</v>
      </c>
      <c r="BV78" s="3">
        <f t="shared" si="113"/>
        <v>1.7825367450798962E-2</v>
      </c>
      <c r="BW78">
        <v>198</v>
      </c>
      <c r="BX78" s="3">
        <f t="shared" si="114"/>
        <v>1.4652556797158291E-2</v>
      </c>
      <c r="BY78">
        <v>162</v>
      </c>
      <c r="BZ78" s="3">
        <f t="shared" si="115"/>
        <v>2.7560394692072133E-4</v>
      </c>
      <c r="CA78" s="1">
        <v>5331</v>
      </c>
      <c r="CB78">
        <v>774</v>
      </c>
      <c r="CC78" s="3">
        <f t="shared" si="116"/>
        <v>2.5032341526520053E-4</v>
      </c>
      <c r="CD78">
        <v>66010</v>
      </c>
      <c r="CE78" s="3">
        <f t="shared" si="117"/>
        <v>3.1034320639398215E-3</v>
      </c>
      <c r="CF78" s="2">
        <v>2344858</v>
      </c>
      <c r="CG78" s="3">
        <f t="shared" si="118"/>
        <v>0.86285970218458719</v>
      </c>
      <c r="CH78" s="2">
        <v>37</v>
      </c>
      <c r="CI78" s="3">
        <f t="shared" si="119"/>
        <v>0.99981690419635783</v>
      </c>
      <c r="CJ78" s="2">
        <v>10481</v>
      </c>
      <c r="CK78" s="3">
        <f t="shared" si="120"/>
        <v>0.53328583515162309</v>
      </c>
      <c r="CL78" s="1">
        <v>15000</v>
      </c>
    </row>
    <row r="79" spans="1:90" x14ac:dyDescent="0.3">
      <c r="A79" t="s">
        <v>200</v>
      </c>
      <c r="B79" t="s">
        <v>201</v>
      </c>
      <c r="C79">
        <v>77</v>
      </c>
      <c r="D79" s="9">
        <f t="shared" si="127"/>
        <v>99</v>
      </c>
      <c r="E79" s="9">
        <f t="shared" si="85"/>
        <v>3.1903841401173754</v>
      </c>
      <c r="F79" s="1">
        <v>46790758</v>
      </c>
      <c r="G79">
        <v>19300000</v>
      </c>
      <c r="H79" s="3">
        <f t="shared" si="126"/>
        <v>2.5733333333333334E-2</v>
      </c>
      <c r="I79">
        <v>12470000</v>
      </c>
      <c r="J79" s="3">
        <f t="shared" si="121"/>
        <v>2.0145395799676898E-2</v>
      </c>
      <c r="K79">
        <v>840000</v>
      </c>
      <c r="L79" s="3">
        <f t="shared" si="122"/>
        <v>3.6681222707423577E-2</v>
      </c>
      <c r="M79">
        <v>29150</v>
      </c>
      <c r="N79" s="3">
        <f t="shared" si="123"/>
        <v>4.5228859581070598E-3</v>
      </c>
      <c r="O79">
        <v>24150</v>
      </c>
      <c r="P79" s="3">
        <f t="shared" si="124"/>
        <v>1.0685840707964602E-2</v>
      </c>
      <c r="Q79">
        <v>5000</v>
      </c>
      <c r="R79" s="3">
        <f t="shared" si="86"/>
        <v>9.0909090909090909E-4</v>
      </c>
      <c r="S79">
        <v>131</v>
      </c>
      <c r="T79" s="3">
        <f t="shared" si="87"/>
        <v>9.5189652666763554E-3</v>
      </c>
      <c r="U79">
        <v>17</v>
      </c>
      <c r="V79" s="3">
        <f t="shared" si="125"/>
        <v>7.4041811846689894E-3</v>
      </c>
      <c r="W79">
        <v>17</v>
      </c>
      <c r="X79" s="3">
        <f t="shared" si="88"/>
        <v>6.1041292639138238E-3</v>
      </c>
      <c r="Y79">
        <v>41</v>
      </c>
      <c r="Z79" s="3">
        <f t="shared" si="89"/>
        <v>7.1441017598884819E-3</v>
      </c>
      <c r="AA79">
        <v>33</v>
      </c>
      <c r="AB79" s="3">
        <f t="shared" si="90"/>
        <v>1.1656658424584953E-2</v>
      </c>
      <c r="AC79">
        <v>61</v>
      </c>
      <c r="AD79" s="3">
        <f t="shared" si="91"/>
        <v>1.0057708161582853E-2</v>
      </c>
      <c r="AE79">
        <v>0</v>
      </c>
      <c r="AF79" s="3">
        <f t="shared" si="92"/>
        <v>0</v>
      </c>
      <c r="AG79">
        <v>76</v>
      </c>
      <c r="AH79" s="3">
        <f t="shared" si="93"/>
        <v>3.7593984962406013E-3</v>
      </c>
      <c r="AI79">
        <v>591</v>
      </c>
      <c r="AJ79" s="3">
        <f t="shared" si="94"/>
        <v>1.4392869319565535E-2</v>
      </c>
      <c r="AK79">
        <v>30</v>
      </c>
      <c r="AL79" s="3">
        <f t="shared" si="95"/>
        <v>5.0234427327528466E-3</v>
      </c>
      <c r="AM79">
        <v>25</v>
      </c>
      <c r="AN79" s="3">
        <f t="shared" si="96"/>
        <v>3.3719989209603455E-3</v>
      </c>
      <c r="AO79">
        <v>0</v>
      </c>
      <c r="AP79" s="3">
        <f t="shared" si="97"/>
        <v>0</v>
      </c>
      <c r="AQ79">
        <v>19</v>
      </c>
      <c r="AR79" s="3">
        <f t="shared" si="98"/>
        <v>1.9648397104446741E-2</v>
      </c>
      <c r="AS79">
        <v>0</v>
      </c>
      <c r="AT79" s="3">
        <f t="shared" si="99"/>
        <v>0</v>
      </c>
      <c r="AU79">
        <v>0</v>
      </c>
      <c r="AV79" s="3">
        <f t="shared" si="100"/>
        <v>0</v>
      </c>
      <c r="AW79">
        <v>0</v>
      </c>
      <c r="AX79" s="3">
        <f t="shared" si="101"/>
        <v>0</v>
      </c>
      <c r="AY79">
        <v>0</v>
      </c>
      <c r="AZ79" s="3">
        <f t="shared" si="102"/>
        <v>0</v>
      </c>
      <c r="BA79">
        <v>0</v>
      </c>
      <c r="BB79" s="3">
        <f t="shared" si="103"/>
        <v>0</v>
      </c>
      <c r="BC79">
        <v>6</v>
      </c>
      <c r="BD79" s="3">
        <f t="shared" si="104"/>
        <v>1.3698630136986301E-2</v>
      </c>
      <c r="BE79">
        <v>0</v>
      </c>
      <c r="BF79" s="3">
        <f t="shared" si="105"/>
        <v>0</v>
      </c>
      <c r="BG79">
        <v>0</v>
      </c>
      <c r="BH79" s="3">
        <f t="shared" si="106"/>
        <v>0</v>
      </c>
      <c r="BI79">
        <v>84000</v>
      </c>
      <c r="BJ79" s="3">
        <f t="shared" si="107"/>
        <v>4.4210526315789471E-3</v>
      </c>
      <c r="BK79">
        <v>0</v>
      </c>
      <c r="BL79" s="3">
        <f t="shared" si="108"/>
        <v>0</v>
      </c>
      <c r="BM79">
        <v>18660000</v>
      </c>
      <c r="BN79" s="3">
        <f t="shared" si="109"/>
        <v>2.3154237498448939E-2</v>
      </c>
      <c r="BO79">
        <v>5</v>
      </c>
      <c r="BP79" s="3">
        <f t="shared" si="110"/>
        <v>7.7966630282239198E-4</v>
      </c>
      <c r="BQ79">
        <v>2</v>
      </c>
      <c r="BR79" s="3">
        <f t="shared" si="111"/>
        <v>8.3333333333333329E-2</v>
      </c>
      <c r="BS79">
        <v>160886</v>
      </c>
      <c r="BT79" s="3">
        <f t="shared" si="112"/>
        <v>2.4426222290373955E-2</v>
      </c>
      <c r="BU79">
        <v>2066</v>
      </c>
      <c r="BV79" s="3">
        <f t="shared" si="113"/>
        <v>9.1907185309085728E-3</v>
      </c>
      <c r="BW79">
        <v>197</v>
      </c>
      <c r="BX79" s="3">
        <f t="shared" si="114"/>
        <v>1.4578553985051432E-2</v>
      </c>
      <c r="BY79">
        <v>595</v>
      </c>
      <c r="BZ79" s="3">
        <f t="shared" si="115"/>
        <v>1.0122490643075877E-3</v>
      </c>
      <c r="CA79" s="1">
        <v>20250</v>
      </c>
      <c r="CB79">
        <v>7374</v>
      </c>
      <c r="CC79" s="3">
        <f t="shared" si="116"/>
        <v>2.3848641655886157E-3</v>
      </c>
      <c r="CD79">
        <v>152700</v>
      </c>
      <c r="CE79" s="3">
        <f t="shared" si="117"/>
        <v>7.1791255289139636E-3</v>
      </c>
      <c r="CF79" s="2">
        <v>580367</v>
      </c>
      <c r="CG79" s="3">
        <f t="shared" si="118"/>
        <v>0.9660569197698804</v>
      </c>
      <c r="CH79" s="2">
        <v>536</v>
      </c>
      <c r="CI79" s="3">
        <f t="shared" si="119"/>
        <v>0.99734758511480603</v>
      </c>
      <c r="CJ79" s="2">
        <v>3457</v>
      </c>
      <c r="CK79" s="3">
        <f t="shared" si="120"/>
        <v>0.84606136171349688</v>
      </c>
      <c r="CL79" s="1" t="s">
        <v>77</v>
      </c>
    </row>
    <row r="80" spans="1:90" x14ac:dyDescent="0.3">
      <c r="A80" t="s">
        <v>202</v>
      </c>
      <c r="B80" t="s">
        <v>203</v>
      </c>
      <c r="C80">
        <v>78</v>
      </c>
      <c r="D80" s="9">
        <f t="shared" si="127"/>
        <v>65</v>
      </c>
      <c r="E80" s="9">
        <f t="shared" si="85"/>
        <v>3.5752341558797944</v>
      </c>
      <c r="F80" s="1">
        <v>11134588</v>
      </c>
      <c r="G80">
        <v>5800000</v>
      </c>
      <c r="H80" s="3">
        <f t="shared" si="126"/>
        <v>7.7333333333333334E-3</v>
      </c>
      <c r="I80">
        <v>5000000</v>
      </c>
      <c r="J80" s="3">
        <f t="shared" si="121"/>
        <v>8.0775444264943458E-3</v>
      </c>
      <c r="K80">
        <v>178000</v>
      </c>
      <c r="L80" s="3">
        <f t="shared" si="122"/>
        <v>7.7729257641921401E-3</v>
      </c>
      <c r="M80">
        <v>50150</v>
      </c>
      <c r="N80" s="3">
        <f t="shared" si="123"/>
        <v>7.7812257564003106E-3</v>
      </c>
      <c r="O80">
        <v>38150</v>
      </c>
      <c r="P80" s="3">
        <f t="shared" si="124"/>
        <v>1.6880530973451328E-2</v>
      </c>
      <c r="Q80">
        <v>12000</v>
      </c>
      <c r="R80" s="3">
        <f t="shared" si="86"/>
        <v>2.1818181818181819E-3</v>
      </c>
      <c r="S80">
        <v>148</v>
      </c>
      <c r="T80" s="3">
        <f t="shared" si="87"/>
        <v>1.0754250835634355E-2</v>
      </c>
      <c r="U80">
        <v>12</v>
      </c>
      <c r="V80" s="3">
        <f t="shared" si="125"/>
        <v>5.2264808362369342E-3</v>
      </c>
      <c r="W80">
        <v>12</v>
      </c>
      <c r="X80" s="3">
        <f t="shared" si="88"/>
        <v>4.3087971274685813E-3</v>
      </c>
      <c r="Y80">
        <v>89</v>
      </c>
      <c r="Z80" s="3">
        <f t="shared" si="89"/>
        <v>1.5507928210489632E-2</v>
      </c>
      <c r="AA80">
        <v>40</v>
      </c>
      <c r="AB80" s="3">
        <f t="shared" si="90"/>
        <v>1.412928293889085E-2</v>
      </c>
      <c r="AC80">
        <v>83</v>
      </c>
      <c r="AD80" s="3">
        <f t="shared" si="91"/>
        <v>1.3685078318219291E-2</v>
      </c>
      <c r="AE80">
        <v>0</v>
      </c>
      <c r="AF80" s="3">
        <f t="shared" si="92"/>
        <v>0</v>
      </c>
      <c r="AG80">
        <v>199</v>
      </c>
      <c r="AH80" s="3">
        <f t="shared" si="93"/>
        <v>9.843688167787891E-3</v>
      </c>
      <c r="AI80">
        <v>679</v>
      </c>
      <c r="AJ80" s="3">
        <f t="shared" si="94"/>
        <v>1.6535969996590523E-2</v>
      </c>
      <c r="AK80">
        <v>19</v>
      </c>
      <c r="AL80" s="3">
        <f t="shared" si="95"/>
        <v>3.1815137307434696E-3</v>
      </c>
      <c r="AM80">
        <v>162</v>
      </c>
      <c r="AN80" s="3">
        <f t="shared" si="96"/>
        <v>2.1850553007823039E-2</v>
      </c>
      <c r="AO80">
        <v>0</v>
      </c>
      <c r="AP80" s="3">
        <f t="shared" si="97"/>
        <v>0</v>
      </c>
      <c r="AQ80">
        <v>50</v>
      </c>
      <c r="AR80" s="3">
        <f t="shared" si="98"/>
        <v>5.170630816959669E-2</v>
      </c>
      <c r="AS80">
        <v>0</v>
      </c>
      <c r="AT80" s="3">
        <f t="shared" si="99"/>
        <v>0</v>
      </c>
      <c r="AU80">
        <v>0</v>
      </c>
      <c r="AV80" s="3">
        <f t="shared" si="100"/>
        <v>0</v>
      </c>
      <c r="AW80">
        <v>0</v>
      </c>
      <c r="AX80" s="3">
        <f t="shared" si="101"/>
        <v>0</v>
      </c>
      <c r="AY80">
        <v>0</v>
      </c>
      <c r="AZ80" s="3">
        <f t="shared" si="102"/>
        <v>0</v>
      </c>
      <c r="BA80">
        <v>0</v>
      </c>
      <c r="BB80" s="3">
        <f t="shared" si="103"/>
        <v>0</v>
      </c>
      <c r="BC80">
        <v>26</v>
      </c>
      <c r="BD80" s="3">
        <f t="shared" si="104"/>
        <v>5.9360730593607303E-2</v>
      </c>
      <c r="BE80">
        <v>6</v>
      </c>
      <c r="BF80" s="3">
        <f t="shared" si="105"/>
        <v>0.13043478260869565</v>
      </c>
      <c r="BG80">
        <v>55050</v>
      </c>
      <c r="BH80" s="3">
        <f t="shared" si="106"/>
        <v>5.4451038575667656E-3</v>
      </c>
      <c r="BI80">
        <v>90000</v>
      </c>
      <c r="BJ80" s="3">
        <f t="shared" si="107"/>
        <v>4.7368421052631582E-3</v>
      </c>
      <c r="BK80">
        <v>400000000</v>
      </c>
      <c r="BL80" s="3">
        <f t="shared" si="108"/>
        <v>1.3333333333333333E-3</v>
      </c>
      <c r="BM80">
        <v>4038000</v>
      </c>
      <c r="BN80" s="3">
        <f t="shared" si="109"/>
        <v>5.0105472142945775E-3</v>
      </c>
      <c r="BO80">
        <v>9</v>
      </c>
      <c r="BP80" s="3">
        <f t="shared" si="110"/>
        <v>1.4033993450803055E-3</v>
      </c>
      <c r="BQ80">
        <v>5</v>
      </c>
      <c r="BR80" s="3">
        <f t="shared" si="111"/>
        <v>0.20833333333333334</v>
      </c>
      <c r="BS80">
        <v>19418</v>
      </c>
      <c r="BT80" s="3">
        <f t="shared" si="112"/>
        <v>2.9481022863050948E-3</v>
      </c>
      <c r="BU80">
        <v>2165</v>
      </c>
      <c r="BV80" s="3">
        <f t="shared" si="113"/>
        <v>9.6311256628349769E-3</v>
      </c>
      <c r="BW80">
        <v>29</v>
      </c>
      <c r="BX80" s="3">
        <f t="shared" si="114"/>
        <v>2.1460815510989419E-3</v>
      </c>
      <c r="BY80">
        <v>550</v>
      </c>
      <c r="BZ80" s="3">
        <f t="shared" si="115"/>
        <v>9.3569241238516498E-4</v>
      </c>
      <c r="CA80" s="1">
        <v>27230</v>
      </c>
      <c r="CB80">
        <v>6276</v>
      </c>
      <c r="CC80" s="3">
        <f t="shared" si="116"/>
        <v>2.0297542043984478E-3</v>
      </c>
      <c r="CD80">
        <v>130800</v>
      </c>
      <c r="CE80" s="3">
        <f t="shared" si="117"/>
        <v>6.1495063469675596E-3</v>
      </c>
      <c r="CF80" s="2">
        <v>163610</v>
      </c>
      <c r="CG80" s="3">
        <f t="shared" si="118"/>
        <v>0.99043118000084451</v>
      </c>
      <c r="CH80" s="2">
        <v>1148</v>
      </c>
      <c r="CI80" s="3">
        <f t="shared" si="119"/>
        <v>0.99431908155186066</v>
      </c>
      <c r="CJ80" s="2">
        <v>1495</v>
      </c>
      <c r="CK80" s="3">
        <f t="shared" si="120"/>
        <v>0.93342832969675382</v>
      </c>
      <c r="CL80" s="1" t="s">
        <v>77</v>
      </c>
    </row>
    <row r="81" spans="1:90" x14ac:dyDescent="0.3">
      <c r="A81" t="s">
        <v>204</v>
      </c>
      <c r="B81" t="s">
        <v>205</v>
      </c>
      <c r="C81">
        <v>79</v>
      </c>
      <c r="D81" s="9">
        <f t="shared" si="127"/>
        <v>71</v>
      </c>
      <c r="E81" s="9">
        <f t="shared" si="85"/>
        <v>3.4412243821031385</v>
      </c>
      <c r="F81" s="1">
        <v>3355262</v>
      </c>
      <c r="G81">
        <v>1730000</v>
      </c>
      <c r="H81" s="3">
        <f t="shared" si="126"/>
        <v>2.3066666666666665E-3</v>
      </c>
      <c r="I81">
        <v>1500000</v>
      </c>
      <c r="J81" s="3">
        <f t="shared" si="121"/>
        <v>2.4232633279483036E-3</v>
      </c>
      <c r="K81">
        <v>63000</v>
      </c>
      <c r="L81" s="3">
        <f t="shared" si="122"/>
        <v>2.7510917030567684E-3</v>
      </c>
      <c r="M81">
        <v>61800</v>
      </c>
      <c r="N81" s="3">
        <f t="shared" si="123"/>
        <v>9.5888285492629951E-3</v>
      </c>
      <c r="O81">
        <v>57300</v>
      </c>
      <c r="P81" s="3">
        <f t="shared" si="124"/>
        <v>2.5353982300884956E-2</v>
      </c>
      <c r="Q81">
        <v>4500</v>
      </c>
      <c r="R81" s="3">
        <f t="shared" si="86"/>
        <v>8.1818181818181816E-4</v>
      </c>
      <c r="S81">
        <v>116</v>
      </c>
      <c r="T81" s="3">
        <f t="shared" si="87"/>
        <v>8.4290074117134139E-3</v>
      </c>
      <c r="U81">
        <v>17</v>
      </c>
      <c r="V81" s="3">
        <f t="shared" si="125"/>
        <v>7.4041811846689894E-3</v>
      </c>
      <c r="W81">
        <v>27</v>
      </c>
      <c r="X81" s="3">
        <f t="shared" si="88"/>
        <v>9.6947935368043095E-3</v>
      </c>
      <c r="Y81">
        <v>55</v>
      </c>
      <c r="Z81" s="3">
        <f t="shared" si="89"/>
        <v>9.5835511413138175E-3</v>
      </c>
      <c r="AA81">
        <v>27</v>
      </c>
      <c r="AB81" s="3">
        <f t="shared" si="90"/>
        <v>9.5372659837513248E-3</v>
      </c>
      <c r="AC81">
        <v>50</v>
      </c>
      <c r="AD81" s="3">
        <f t="shared" si="91"/>
        <v>8.2440230832646327E-3</v>
      </c>
      <c r="AE81">
        <v>0</v>
      </c>
      <c r="AF81" s="3">
        <f t="shared" si="92"/>
        <v>0</v>
      </c>
      <c r="AG81">
        <v>117</v>
      </c>
      <c r="AH81" s="3">
        <f t="shared" si="93"/>
        <v>5.7874950534230309E-3</v>
      </c>
      <c r="AI81">
        <v>950</v>
      </c>
      <c r="AJ81" s="3">
        <f t="shared" si="94"/>
        <v>2.3135745945156105E-2</v>
      </c>
      <c r="AK81">
        <v>15</v>
      </c>
      <c r="AL81" s="3">
        <f t="shared" si="95"/>
        <v>2.5117213663764233E-3</v>
      </c>
      <c r="AM81">
        <v>168</v>
      </c>
      <c r="AN81" s="3">
        <f t="shared" si="96"/>
        <v>2.2659832748853519E-2</v>
      </c>
      <c r="AO81">
        <v>12</v>
      </c>
      <c r="AP81" s="3">
        <f t="shared" si="97"/>
        <v>3.1637226469812814E-3</v>
      </c>
      <c r="AQ81">
        <v>16</v>
      </c>
      <c r="AR81" s="3">
        <f t="shared" si="98"/>
        <v>1.6546018614270942E-2</v>
      </c>
      <c r="AS81">
        <v>0</v>
      </c>
      <c r="AT81" s="3">
        <f t="shared" si="99"/>
        <v>0</v>
      </c>
      <c r="AU81">
        <v>0</v>
      </c>
      <c r="AV81" s="3">
        <f t="shared" si="100"/>
        <v>0</v>
      </c>
      <c r="AW81">
        <v>0</v>
      </c>
      <c r="AX81" s="3">
        <f t="shared" si="101"/>
        <v>0</v>
      </c>
      <c r="AY81">
        <v>5</v>
      </c>
      <c r="AZ81" s="3">
        <f t="shared" si="102"/>
        <v>6.1728395061728392E-2</v>
      </c>
      <c r="BA81">
        <v>0</v>
      </c>
      <c r="BB81" s="3">
        <f t="shared" si="103"/>
        <v>0</v>
      </c>
      <c r="BC81">
        <v>8</v>
      </c>
      <c r="BD81" s="3">
        <f t="shared" si="104"/>
        <v>1.8264840182648401E-2</v>
      </c>
      <c r="BE81">
        <v>0</v>
      </c>
      <c r="BF81" s="3">
        <f t="shared" si="105"/>
        <v>0</v>
      </c>
      <c r="BG81">
        <v>943500</v>
      </c>
      <c r="BH81" s="3">
        <f t="shared" si="106"/>
        <v>9.3323442136498513E-2</v>
      </c>
      <c r="BI81">
        <v>154000</v>
      </c>
      <c r="BJ81" s="3">
        <f t="shared" si="107"/>
        <v>8.1052631578947369E-3</v>
      </c>
      <c r="BK81">
        <v>5300000000</v>
      </c>
      <c r="BL81" s="3">
        <f t="shared" si="108"/>
        <v>1.7666666666666667E-2</v>
      </c>
      <c r="BM81">
        <v>968800</v>
      </c>
      <c r="BN81" s="3">
        <f t="shared" si="109"/>
        <v>1.2021342598337263E-3</v>
      </c>
      <c r="BO81">
        <v>5</v>
      </c>
      <c r="BP81" s="3">
        <f t="shared" si="110"/>
        <v>7.7966630282239198E-4</v>
      </c>
      <c r="BQ81">
        <v>3</v>
      </c>
      <c r="BR81" s="3">
        <f t="shared" si="111"/>
        <v>0.125</v>
      </c>
      <c r="BS81">
        <v>60240</v>
      </c>
      <c r="BT81" s="3">
        <f t="shared" si="112"/>
        <v>9.1458276715943414E-3</v>
      </c>
      <c r="BU81">
        <v>0</v>
      </c>
      <c r="BV81" s="3">
        <f t="shared" si="113"/>
        <v>0</v>
      </c>
      <c r="BW81">
        <v>132</v>
      </c>
      <c r="BX81" s="3">
        <f t="shared" si="114"/>
        <v>9.7683711981055282E-3</v>
      </c>
      <c r="BY81">
        <v>6715</v>
      </c>
      <c r="BZ81" s="3">
        <f t="shared" si="115"/>
        <v>1.1423953725757061E-2</v>
      </c>
      <c r="CA81" s="1">
        <v>20850</v>
      </c>
      <c r="CB81">
        <v>14540</v>
      </c>
      <c r="CC81" s="3">
        <f t="shared" si="116"/>
        <v>4.7024579560155239E-3</v>
      </c>
      <c r="CD81">
        <v>173100</v>
      </c>
      <c r="CE81" s="3">
        <f t="shared" si="117"/>
        <v>8.1382228490832157E-3</v>
      </c>
      <c r="CF81" s="2">
        <v>309500</v>
      </c>
      <c r="CG81" s="3">
        <f t="shared" si="118"/>
        <v>0.98189872385710764</v>
      </c>
      <c r="CH81" s="2">
        <v>2092</v>
      </c>
      <c r="CI81" s="3">
        <f t="shared" si="119"/>
        <v>0.98964766429136974</v>
      </c>
      <c r="CJ81" s="2">
        <v>1561</v>
      </c>
      <c r="CK81" s="3">
        <f t="shared" si="120"/>
        <v>0.93048937970343326</v>
      </c>
      <c r="CL81" s="1" t="s">
        <v>77</v>
      </c>
    </row>
    <row r="82" spans="1:90" x14ac:dyDescent="0.3">
      <c r="A82" t="s">
        <v>206</v>
      </c>
      <c r="B82" t="s">
        <v>207</v>
      </c>
      <c r="C82">
        <v>80</v>
      </c>
      <c r="D82" s="9">
        <f t="shared" si="127"/>
        <v>37</v>
      </c>
      <c r="E82" s="9">
        <f t="shared" si="85"/>
        <v>4.294266904534914</v>
      </c>
      <c r="F82" s="1">
        <v>2832776</v>
      </c>
      <c r="G82">
        <v>1620000</v>
      </c>
      <c r="H82" s="3">
        <f t="shared" si="126"/>
        <v>2.16E-3</v>
      </c>
      <c r="I82">
        <v>1365000</v>
      </c>
      <c r="J82" s="3">
        <f t="shared" si="121"/>
        <v>2.2051696284329566E-3</v>
      </c>
      <c r="K82">
        <v>34000</v>
      </c>
      <c r="L82" s="3">
        <f t="shared" si="122"/>
        <v>1.4847161572052402E-3</v>
      </c>
      <c r="M82">
        <v>46500</v>
      </c>
      <c r="N82" s="3">
        <f t="shared" si="123"/>
        <v>7.2148952676493409E-3</v>
      </c>
      <c r="O82">
        <v>15500</v>
      </c>
      <c r="P82" s="3">
        <f t="shared" si="124"/>
        <v>6.8584070796460176E-3</v>
      </c>
      <c r="Q82">
        <v>31000</v>
      </c>
      <c r="R82" s="3">
        <f t="shared" si="86"/>
        <v>5.6363636363636364E-3</v>
      </c>
      <c r="S82">
        <v>106</v>
      </c>
      <c r="T82" s="3">
        <f t="shared" si="87"/>
        <v>7.7023688417381195E-3</v>
      </c>
      <c r="U82">
        <v>27</v>
      </c>
      <c r="V82" s="3">
        <f t="shared" si="125"/>
        <v>1.1759581881533102E-2</v>
      </c>
      <c r="W82">
        <v>27</v>
      </c>
      <c r="X82" s="3">
        <f t="shared" si="88"/>
        <v>9.6947935368043095E-3</v>
      </c>
      <c r="Y82">
        <v>31</v>
      </c>
      <c r="Z82" s="3">
        <f t="shared" si="89"/>
        <v>5.4016379160132426E-3</v>
      </c>
      <c r="AA82">
        <v>28</v>
      </c>
      <c r="AB82" s="3">
        <f t="shared" si="90"/>
        <v>9.8904980572235967E-3</v>
      </c>
      <c r="AC82">
        <v>43</v>
      </c>
      <c r="AD82" s="3">
        <f t="shared" si="91"/>
        <v>7.0898598516075844E-3</v>
      </c>
      <c r="AE82">
        <v>16</v>
      </c>
      <c r="AF82" s="3">
        <f t="shared" si="92"/>
        <v>1.6895459345300949E-2</v>
      </c>
      <c r="AG82">
        <v>368</v>
      </c>
      <c r="AH82" s="3">
        <f t="shared" si="93"/>
        <v>1.8203403244954491E-2</v>
      </c>
      <c r="AI82">
        <v>861</v>
      </c>
      <c r="AJ82" s="3">
        <f t="shared" si="94"/>
        <v>2.0968291851346743E-2</v>
      </c>
      <c r="AK82">
        <v>98</v>
      </c>
      <c r="AL82" s="3">
        <f t="shared" si="95"/>
        <v>1.6409912926992631E-2</v>
      </c>
      <c r="AM82">
        <v>0</v>
      </c>
      <c r="AN82" s="3">
        <f t="shared" si="96"/>
        <v>0</v>
      </c>
      <c r="AO82">
        <v>27</v>
      </c>
      <c r="AP82" s="3">
        <f t="shared" si="97"/>
        <v>7.1183759557078832E-3</v>
      </c>
      <c r="AQ82">
        <v>38</v>
      </c>
      <c r="AR82" s="3">
        <f t="shared" si="98"/>
        <v>3.9296794208893482E-2</v>
      </c>
      <c r="AS82">
        <v>0</v>
      </c>
      <c r="AT82" s="3">
        <f t="shared" si="99"/>
        <v>0</v>
      </c>
      <c r="AU82">
        <v>0</v>
      </c>
      <c r="AV82" s="3">
        <f t="shared" si="100"/>
        <v>0</v>
      </c>
      <c r="AW82">
        <v>0</v>
      </c>
      <c r="AX82" s="3">
        <f t="shared" si="101"/>
        <v>0</v>
      </c>
      <c r="AY82">
        <v>0</v>
      </c>
      <c r="AZ82" s="3">
        <f t="shared" si="102"/>
        <v>0</v>
      </c>
      <c r="BA82">
        <v>0</v>
      </c>
      <c r="BB82" s="3">
        <f t="shared" si="103"/>
        <v>0</v>
      </c>
      <c r="BC82">
        <v>106</v>
      </c>
      <c r="BD82" s="3">
        <f t="shared" si="104"/>
        <v>0.24200913242009131</v>
      </c>
      <c r="BE82">
        <v>0</v>
      </c>
      <c r="BF82" s="3">
        <f t="shared" si="105"/>
        <v>0</v>
      </c>
      <c r="BG82">
        <v>2619000</v>
      </c>
      <c r="BH82" s="3">
        <f t="shared" si="106"/>
        <v>0.25905044510385755</v>
      </c>
      <c r="BI82">
        <v>470000</v>
      </c>
      <c r="BJ82" s="3">
        <f t="shared" si="107"/>
        <v>2.4736842105263158E-2</v>
      </c>
      <c r="BK82">
        <v>104000000000</v>
      </c>
      <c r="BL82" s="3">
        <f t="shared" si="108"/>
        <v>0.34666666666666668</v>
      </c>
      <c r="BM82">
        <v>2546000</v>
      </c>
      <c r="BN82" s="3">
        <f t="shared" si="109"/>
        <v>3.1592008934110934E-3</v>
      </c>
      <c r="BO82">
        <v>34</v>
      </c>
      <c r="BP82" s="3">
        <f t="shared" si="110"/>
        <v>5.3017308591922661E-3</v>
      </c>
      <c r="BQ82">
        <v>5</v>
      </c>
      <c r="BR82" s="3">
        <f t="shared" si="111"/>
        <v>0.20833333333333334</v>
      </c>
      <c r="BS82">
        <v>5749</v>
      </c>
      <c r="BT82" s="3">
        <f t="shared" si="112"/>
        <v>8.728313958166644E-4</v>
      </c>
      <c r="BU82">
        <v>0</v>
      </c>
      <c r="BV82" s="3">
        <f t="shared" si="113"/>
        <v>0</v>
      </c>
      <c r="BW82">
        <v>7</v>
      </c>
      <c r="BX82" s="3">
        <f t="shared" si="114"/>
        <v>5.1801968474802043E-4</v>
      </c>
      <c r="BY82">
        <v>5200</v>
      </c>
      <c r="BZ82" s="3">
        <f t="shared" si="115"/>
        <v>8.8465464443688337E-3</v>
      </c>
      <c r="CA82" s="1">
        <v>47890</v>
      </c>
      <c r="CB82">
        <v>28720</v>
      </c>
      <c r="CC82" s="3">
        <f t="shared" si="116"/>
        <v>9.2884864165588624E-3</v>
      </c>
      <c r="CD82">
        <v>301100</v>
      </c>
      <c r="CE82" s="3">
        <f t="shared" si="117"/>
        <v>1.4156088387400094E-2</v>
      </c>
      <c r="CF82" s="2">
        <v>17818</v>
      </c>
      <c r="CG82" s="3">
        <f t="shared" si="118"/>
        <v>0.99895790456118239</v>
      </c>
      <c r="CH82" s="2">
        <v>499</v>
      </c>
      <c r="CI82" s="3">
        <f t="shared" si="119"/>
        <v>0.9975306809184481</v>
      </c>
      <c r="CJ82" s="2">
        <v>475</v>
      </c>
      <c r="CK82" s="3">
        <f t="shared" si="120"/>
        <v>0.97884846595716257</v>
      </c>
      <c r="CL82" s="1" t="s">
        <v>77</v>
      </c>
    </row>
    <row r="83" spans="1:90" x14ac:dyDescent="0.3">
      <c r="A83" t="s">
        <v>208</v>
      </c>
      <c r="B83" t="s">
        <v>209</v>
      </c>
      <c r="C83">
        <v>81</v>
      </c>
      <c r="D83" s="9">
        <f t="shared" si="127"/>
        <v>109</v>
      </c>
      <c r="E83" s="9">
        <f t="shared" si="85"/>
        <v>3.1019638116610979</v>
      </c>
      <c r="F83" s="1">
        <v>14546961</v>
      </c>
      <c r="G83">
        <v>5500000</v>
      </c>
      <c r="H83" s="3">
        <f t="shared" si="126"/>
        <v>7.3333333333333332E-3</v>
      </c>
      <c r="I83">
        <v>3175000</v>
      </c>
      <c r="J83" s="3">
        <f t="shared" si="121"/>
        <v>5.1292407108239095E-3</v>
      </c>
      <c r="K83">
        <v>310000</v>
      </c>
      <c r="L83" s="3">
        <f t="shared" si="122"/>
        <v>1.3537117903930132E-2</v>
      </c>
      <c r="M83">
        <v>52000</v>
      </c>
      <c r="N83" s="3">
        <f t="shared" si="123"/>
        <v>8.0682699767261438E-3</v>
      </c>
      <c r="O83">
        <v>30000</v>
      </c>
      <c r="P83" s="3">
        <f t="shared" si="124"/>
        <v>1.3274336283185841E-2</v>
      </c>
      <c r="Q83">
        <v>22000</v>
      </c>
      <c r="R83" s="3">
        <f t="shared" si="86"/>
        <v>4.0000000000000001E-3</v>
      </c>
      <c r="S83">
        <v>92</v>
      </c>
      <c r="T83" s="3">
        <f t="shared" si="87"/>
        <v>6.6850748437727071E-3</v>
      </c>
      <c r="U83">
        <v>10</v>
      </c>
      <c r="V83" s="3">
        <f t="shared" si="125"/>
        <v>4.3554006968641113E-3</v>
      </c>
      <c r="W83">
        <v>10</v>
      </c>
      <c r="X83" s="3">
        <f t="shared" si="88"/>
        <v>3.5906642728904849E-3</v>
      </c>
      <c r="Y83">
        <v>39</v>
      </c>
      <c r="Z83" s="3">
        <f t="shared" si="89"/>
        <v>6.7956089911134342E-3</v>
      </c>
      <c r="AA83">
        <v>46</v>
      </c>
      <c r="AB83" s="3">
        <f t="shared" si="90"/>
        <v>1.6248675379724478E-2</v>
      </c>
      <c r="AC83">
        <v>28</v>
      </c>
      <c r="AD83" s="3">
        <f t="shared" si="91"/>
        <v>4.6166529266281949E-3</v>
      </c>
      <c r="AE83">
        <v>6</v>
      </c>
      <c r="AF83" s="3">
        <f t="shared" si="92"/>
        <v>6.3357972544878568E-3</v>
      </c>
      <c r="AG83">
        <v>72</v>
      </c>
      <c r="AH83" s="3">
        <f t="shared" si="93"/>
        <v>3.5615354174910962E-3</v>
      </c>
      <c r="AI83">
        <v>172</v>
      </c>
      <c r="AJ83" s="3">
        <f t="shared" si="94"/>
        <v>4.1887876869124742E-3</v>
      </c>
      <c r="AK83">
        <v>0</v>
      </c>
      <c r="AL83" s="3">
        <f t="shared" si="95"/>
        <v>0</v>
      </c>
      <c r="AM83">
        <v>26</v>
      </c>
      <c r="AN83" s="3">
        <f t="shared" si="96"/>
        <v>3.5068788777987592E-3</v>
      </c>
      <c r="AO83">
        <v>64</v>
      </c>
      <c r="AP83" s="3">
        <f t="shared" si="97"/>
        <v>1.6873187450566835E-2</v>
      </c>
      <c r="AQ83">
        <v>0</v>
      </c>
      <c r="AR83" s="3">
        <f t="shared" si="98"/>
        <v>0</v>
      </c>
      <c r="AS83">
        <v>0</v>
      </c>
      <c r="AT83" s="3">
        <f t="shared" si="99"/>
        <v>0</v>
      </c>
      <c r="AU83">
        <v>0</v>
      </c>
      <c r="AV83" s="3">
        <f t="shared" si="100"/>
        <v>0</v>
      </c>
      <c r="AW83">
        <v>0</v>
      </c>
      <c r="AX83" s="3">
        <f t="shared" si="101"/>
        <v>0</v>
      </c>
      <c r="AY83">
        <v>0</v>
      </c>
      <c r="AZ83" s="3">
        <f t="shared" si="102"/>
        <v>0</v>
      </c>
      <c r="BA83">
        <v>0</v>
      </c>
      <c r="BB83" s="3">
        <f t="shared" si="103"/>
        <v>0</v>
      </c>
      <c r="BC83">
        <v>0</v>
      </c>
      <c r="BD83" s="3">
        <f t="shared" si="104"/>
        <v>0</v>
      </c>
      <c r="BE83">
        <v>0</v>
      </c>
      <c r="BF83" s="3">
        <f t="shared" si="105"/>
        <v>0</v>
      </c>
      <c r="BG83">
        <v>50</v>
      </c>
      <c r="BH83" s="3">
        <f t="shared" si="106"/>
        <v>4.9455984174085064E-6</v>
      </c>
      <c r="BI83">
        <v>19000</v>
      </c>
      <c r="BJ83" s="3">
        <f t="shared" si="107"/>
        <v>1E-3</v>
      </c>
      <c r="BK83">
        <v>0</v>
      </c>
      <c r="BL83" s="3">
        <f t="shared" si="108"/>
        <v>0</v>
      </c>
      <c r="BM83">
        <v>8098000</v>
      </c>
      <c r="BN83" s="3">
        <f t="shared" si="109"/>
        <v>1.0048393100881002E-2</v>
      </c>
      <c r="BO83">
        <v>0</v>
      </c>
      <c r="BP83" s="3">
        <f t="shared" si="110"/>
        <v>0</v>
      </c>
      <c r="BQ83">
        <v>2</v>
      </c>
      <c r="BR83" s="3">
        <f t="shared" si="111"/>
        <v>8.3333333333333329E-2</v>
      </c>
      <c r="BS83">
        <v>97267</v>
      </c>
      <c r="BT83" s="3">
        <f t="shared" si="112"/>
        <v>1.4767384132353366E-2</v>
      </c>
      <c r="BU83">
        <v>3427</v>
      </c>
      <c r="BV83" s="3">
        <f t="shared" si="113"/>
        <v>1.524520445567458E-2</v>
      </c>
      <c r="BW83">
        <v>196</v>
      </c>
      <c r="BX83" s="3">
        <f t="shared" si="114"/>
        <v>1.4504551172944571E-2</v>
      </c>
      <c r="BY83">
        <v>95</v>
      </c>
      <c r="BZ83" s="3">
        <f t="shared" si="115"/>
        <v>1.6161959850289213E-4</v>
      </c>
      <c r="CA83" s="1">
        <v>10900</v>
      </c>
      <c r="CB83">
        <v>326</v>
      </c>
      <c r="CC83" s="3">
        <f t="shared" si="116"/>
        <v>1.0543337645536869E-4</v>
      </c>
      <c r="CD83">
        <v>28330</v>
      </c>
      <c r="CE83" s="3">
        <f t="shared" si="117"/>
        <v>1.3319228960977903E-3</v>
      </c>
      <c r="CF83" s="2">
        <v>390757</v>
      </c>
      <c r="CG83" s="3">
        <f t="shared" si="118"/>
        <v>0.97714636393612864</v>
      </c>
      <c r="CH83" s="2">
        <v>0</v>
      </c>
      <c r="CI83" s="3">
        <f t="shared" si="119"/>
        <v>1</v>
      </c>
      <c r="CJ83" s="2">
        <v>3229</v>
      </c>
      <c r="CK83" s="3">
        <f t="shared" si="120"/>
        <v>0.8562140980540589</v>
      </c>
      <c r="CL83" s="1" t="s">
        <v>77</v>
      </c>
    </row>
    <row r="84" spans="1:90" x14ac:dyDescent="0.3">
      <c r="A84" t="s">
        <v>210</v>
      </c>
      <c r="B84" t="s">
        <v>211</v>
      </c>
      <c r="C84">
        <v>82</v>
      </c>
      <c r="D84" s="9">
        <f t="shared" si="127"/>
        <v>85</v>
      </c>
      <c r="E84" s="9">
        <f t="shared" si="85"/>
        <v>3.3012604247789286</v>
      </c>
      <c r="F84" s="1">
        <v>4928052</v>
      </c>
      <c r="G84">
        <v>2250000</v>
      </c>
      <c r="H84" s="3">
        <f t="shared" si="126"/>
        <v>3.0000000000000001E-3</v>
      </c>
      <c r="I84">
        <v>1825000</v>
      </c>
      <c r="J84" s="3">
        <f t="shared" si="121"/>
        <v>2.9483037156704363E-3</v>
      </c>
      <c r="K84">
        <v>58000</v>
      </c>
      <c r="L84" s="3">
        <f t="shared" si="122"/>
        <v>2.5327510917030568E-3</v>
      </c>
      <c r="M84">
        <v>35825</v>
      </c>
      <c r="N84" s="3">
        <f t="shared" si="123"/>
        <v>5.5585725368502712E-3</v>
      </c>
      <c r="O84">
        <v>30325</v>
      </c>
      <c r="P84" s="3">
        <f t="shared" si="124"/>
        <v>1.3418141592920353E-2</v>
      </c>
      <c r="Q84">
        <v>5500</v>
      </c>
      <c r="R84" s="3">
        <f t="shared" si="86"/>
        <v>1E-3</v>
      </c>
      <c r="S84">
        <v>68</v>
      </c>
      <c r="T84" s="3">
        <f t="shared" si="87"/>
        <v>4.9411422758320013E-3</v>
      </c>
      <c r="U84">
        <v>0</v>
      </c>
      <c r="V84" s="3">
        <f t="shared" si="125"/>
        <v>0</v>
      </c>
      <c r="W84">
        <v>11</v>
      </c>
      <c r="X84" s="3">
        <f t="shared" si="88"/>
        <v>3.9497307001795335E-3</v>
      </c>
      <c r="Y84">
        <v>32</v>
      </c>
      <c r="Z84" s="3">
        <f t="shared" si="89"/>
        <v>5.5758843004007665E-3</v>
      </c>
      <c r="AA84">
        <v>13</v>
      </c>
      <c r="AB84" s="3">
        <f t="shared" si="90"/>
        <v>4.5920169551395265E-3</v>
      </c>
      <c r="AC84">
        <v>42</v>
      </c>
      <c r="AD84" s="3">
        <f t="shared" si="91"/>
        <v>6.9249793899422915E-3</v>
      </c>
      <c r="AE84">
        <v>11</v>
      </c>
      <c r="AF84" s="3">
        <f t="shared" si="92"/>
        <v>1.1615628299894404E-2</v>
      </c>
      <c r="AG84">
        <v>220</v>
      </c>
      <c r="AH84" s="3">
        <f t="shared" si="93"/>
        <v>1.0882469331222795E-2</v>
      </c>
      <c r="AI84">
        <v>1946</v>
      </c>
      <c r="AJ84" s="3">
        <f t="shared" si="94"/>
        <v>4.7391749062393455E-2</v>
      </c>
      <c r="AK84">
        <v>118</v>
      </c>
      <c r="AL84" s="3">
        <f t="shared" si="95"/>
        <v>1.9758874748827863E-2</v>
      </c>
      <c r="AM84">
        <v>230</v>
      </c>
      <c r="AN84" s="3">
        <f t="shared" si="96"/>
        <v>3.1022390072835176E-2</v>
      </c>
      <c r="AO84">
        <v>265</v>
      </c>
      <c r="AP84" s="3">
        <f t="shared" si="97"/>
        <v>6.9865541787503302E-2</v>
      </c>
      <c r="AQ84">
        <v>9</v>
      </c>
      <c r="AR84" s="3">
        <f t="shared" si="98"/>
        <v>9.3071354705274046E-3</v>
      </c>
      <c r="AS84">
        <v>0</v>
      </c>
      <c r="AT84" s="3">
        <f t="shared" si="99"/>
        <v>0</v>
      </c>
      <c r="AU84">
        <v>0</v>
      </c>
      <c r="AV84" s="3">
        <f t="shared" si="100"/>
        <v>0</v>
      </c>
      <c r="AW84">
        <v>0</v>
      </c>
      <c r="AX84" s="3">
        <f t="shared" si="101"/>
        <v>0</v>
      </c>
      <c r="AY84">
        <v>0</v>
      </c>
      <c r="AZ84" s="3">
        <f t="shared" si="102"/>
        <v>0</v>
      </c>
      <c r="BA84">
        <v>0</v>
      </c>
      <c r="BB84" s="3">
        <f t="shared" si="103"/>
        <v>0</v>
      </c>
      <c r="BC84">
        <v>4</v>
      </c>
      <c r="BD84" s="3">
        <f t="shared" si="104"/>
        <v>9.1324200913242004E-3</v>
      </c>
      <c r="BE84">
        <v>0</v>
      </c>
      <c r="BF84" s="3">
        <f t="shared" si="105"/>
        <v>0</v>
      </c>
      <c r="BG84">
        <v>1000</v>
      </c>
      <c r="BH84" s="3">
        <f t="shared" si="106"/>
        <v>9.8911968348170125E-5</v>
      </c>
      <c r="BI84">
        <v>17000</v>
      </c>
      <c r="BJ84" s="3">
        <f t="shared" si="107"/>
        <v>8.9473684210526316E-4</v>
      </c>
      <c r="BK84">
        <v>35000000</v>
      </c>
      <c r="BL84" s="3">
        <f t="shared" si="108"/>
        <v>1.1666666666666667E-4</v>
      </c>
      <c r="BM84">
        <v>1959000</v>
      </c>
      <c r="BN84" s="3">
        <f t="shared" si="109"/>
        <v>2.430822682714977E-3</v>
      </c>
      <c r="BO84">
        <v>142</v>
      </c>
      <c r="BP84" s="3">
        <f t="shared" si="110"/>
        <v>2.2142523000155932E-2</v>
      </c>
      <c r="BQ84">
        <v>2</v>
      </c>
      <c r="BR84" s="3">
        <f t="shared" si="111"/>
        <v>8.3333333333333329E-2</v>
      </c>
      <c r="BS84">
        <v>20329</v>
      </c>
      <c r="BT84" s="3">
        <f t="shared" si="112"/>
        <v>3.0864131928260517E-3</v>
      </c>
      <c r="BU84">
        <v>1612</v>
      </c>
      <c r="BV84" s="3">
        <f t="shared" si="113"/>
        <v>7.1710737036905225E-3</v>
      </c>
      <c r="BW84">
        <v>22</v>
      </c>
      <c r="BX84" s="3">
        <f t="shared" si="114"/>
        <v>1.6280618663509214E-3</v>
      </c>
      <c r="BY84">
        <v>380</v>
      </c>
      <c r="BZ84" s="3">
        <f t="shared" si="115"/>
        <v>6.4647839401156852E-4</v>
      </c>
      <c r="CA84" s="1">
        <v>13650</v>
      </c>
      <c r="CB84">
        <v>2855</v>
      </c>
      <c r="CC84" s="3">
        <f t="shared" si="116"/>
        <v>9.2335058214747733E-4</v>
      </c>
      <c r="CD84">
        <v>37380</v>
      </c>
      <c r="CE84" s="3">
        <f t="shared" si="117"/>
        <v>1.7574047954866008E-3</v>
      </c>
      <c r="CF84" s="2">
        <v>69700</v>
      </c>
      <c r="CG84" s="3">
        <f t="shared" si="118"/>
        <v>0.99592355752129369</v>
      </c>
      <c r="CH84" s="2">
        <v>310</v>
      </c>
      <c r="CI84" s="3">
        <f t="shared" si="119"/>
        <v>0.99846595407759309</v>
      </c>
      <c r="CJ84" s="2">
        <v>1814</v>
      </c>
      <c r="CK84" s="3">
        <f t="shared" si="120"/>
        <v>0.91922340472903774</v>
      </c>
      <c r="CL84" s="1">
        <v>4349</v>
      </c>
    </row>
    <row r="85" spans="1:90" x14ac:dyDescent="0.3">
      <c r="A85" t="s">
        <v>212</v>
      </c>
      <c r="B85" t="s">
        <v>213</v>
      </c>
      <c r="C85">
        <v>83</v>
      </c>
      <c r="D85" s="9">
        <f t="shared" si="127"/>
        <v>86</v>
      </c>
      <c r="E85" s="9">
        <f t="shared" si="85"/>
        <v>3.3007207424088647</v>
      </c>
      <c r="F85" s="1">
        <v>7143921</v>
      </c>
      <c r="G85">
        <v>3500000</v>
      </c>
      <c r="H85" s="3">
        <f t="shared" si="126"/>
        <v>4.6666666666666671E-3</v>
      </c>
      <c r="I85">
        <v>2755000</v>
      </c>
      <c r="J85" s="3">
        <f t="shared" si="121"/>
        <v>4.4507269789983844E-3</v>
      </c>
      <c r="K85">
        <v>86000</v>
      </c>
      <c r="L85" s="3">
        <f t="shared" si="122"/>
        <v>3.7554585152838427E-3</v>
      </c>
      <c r="M85">
        <v>90075</v>
      </c>
      <c r="N85" s="3">
        <f t="shared" si="123"/>
        <v>1.3975950349107836E-2</v>
      </c>
      <c r="O85">
        <v>40075</v>
      </c>
      <c r="P85" s="3">
        <f t="shared" si="124"/>
        <v>1.773230088495575E-2</v>
      </c>
      <c r="Q85">
        <v>50000</v>
      </c>
      <c r="R85" s="3">
        <f t="shared" si="86"/>
        <v>9.0909090909090905E-3</v>
      </c>
      <c r="S85">
        <v>121</v>
      </c>
      <c r="T85" s="3">
        <f t="shared" si="87"/>
        <v>8.792326696701061E-3</v>
      </c>
      <c r="U85">
        <v>24</v>
      </c>
      <c r="V85" s="3">
        <f t="shared" si="125"/>
        <v>1.0452961672473868E-2</v>
      </c>
      <c r="W85">
        <v>41</v>
      </c>
      <c r="X85" s="3">
        <f t="shared" si="88"/>
        <v>1.4721723518850987E-2</v>
      </c>
      <c r="Y85">
        <v>40</v>
      </c>
      <c r="Z85" s="3">
        <f t="shared" si="89"/>
        <v>6.9698553755009581E-3</v>
      </c>
      <c r="AA85">
        <v>38</v>
      </c>
      <c r="AB85" s="3">
        <f t="shared" si="90"/>
        <v>1.3422818791946308E-2</v>
      </c>
      <c r="AC85">
        <v>39</v>
      </c>
      <c r="AD85" s="3">
        <f t="shared" si="91"/>
        <v>6.4303380049464138E-3</v>
      </c>
      <c r="AE85">
        <v>0</v>
      </c>
      <c r="AF85" s="3">
        <f t="shared" si="92"/>
        <v>0</v>
      </c>
      <c r="AG85">
        <v>805</v>
      </c>
      <c r="AH85" s="3">
        <f t="shared" si="93"/>
        <v>3.9819944598337952E-2</v>
      </c>
      <c r="AI85">
        <v>575</v>
      </c>
      <c r="AJ85" s="3">
        <f t="shared" si="94"/>
        <v>1.4003214651015538E-2</v>
      </c>
      <c r="AK85">
        <v>72</v>
      </c>
      <c r="AL85" s="3">
        <f t="shared" si="95"/>
        <v>1.2056262558606833E-2</v>
      </c>
      <c r="AM85">
        <v>144</v>
      </c>
      <c r="AN85" s="3">
        <f t="shared" si="96"/>
        <v>1.942271378473159E-2</v>
      </c>
      <c r="AO85">
        <v>82</v>
      </c>
      <c r="AP85" s="3">
        <f t="shared" si="97"/>
        <v>2.1618771421038754E-2</v>
      </c>
      <c r="AQ85">
        <v>19</v>
      </c>
      <c r="AR85" s="3">
        <f t="shared" si="98"/>
        <v>1.9648397104446741E-2</v>
      </c>
      <c r="AS85">
        <v>0</v>
      </c>
      <c r="AT85" s="3">
        <f t="shared" si="99"/>
        <v>0</v>
      </c>
      <c r="AU85">
        <v>0</v>
      </c>
      <c r="AV85" s="3">
        <f t="shared" si="100"/>
        <v>0</v>
      </c>
      <c r="AW85">
        <v>0</v>
      </c>
      <c r="AX85" s="3">
        <f t="shared" si="101"/>
        <v>0</v>
      </c>
      <c r="AY85">
        <v>0</v>
      </c>
      <c r="AZ85" s="3">
        <f t="shared" si="102"/>
        <v>0</v>
      </c>
      <c r="BA85">
        <v>0</v>
      </c>
      <c r="BB85" s="3">
        <f t="shared" si="103"/>
        <v>0</v>
      </c>
      <c r="BC85">
        <v>7</v>
      </c>
      <c r="BD85" s="3">
        <f t="shared" si="104"/>
        <v>1.5981735159817351E-2</v>
      </c>
      <c r="BE85">
        <v>5</v>
      </c>
      <c r="BF85" s="3">
        <f t="shared" si="105"/>
        <v>0.10869565217391304</v>
      </c>
      <c r="BG85">
        <v>16840</v>
      </c>
      <c r="BH85" s="3">
        <f t="shared" si="106"/>
        <v>1.665677546983185E-3</v>
      </c>
      <c r="BI85">
        <v>77200</v>
      </c>
      <c r="BJ85" s="3">
        <f t="shared" si="107"/>
        <v>4.0631578947368423E-3</v>
      </c>
      <c r="BK85">
        <v>100000000</v>
      </c>
      <c r="BL85" s="3">
        <f t="shared" si="108"/>
        <v>3.3333333333333332E-4</v>
      </c>
      <c r="BM85">
        <v>2910000</v>
      </c>
      <c r="BN85" s="3">
        <f t="shared" si="109"/>
        <v>3.6108698349671176E-3</v>
      </c>
      <c r="BO85">
        <v>0</v>
      </c>
      <c r="BP85" s="3">
        <f t="shared" si="110"/>
        <v>0</v>
      </c>
      <c r="BQ85">
        <v>0</v>
      </c>
      <c r="BR85" s="3">
        <f t="shared" si="111"/>
        <v>0</v>
      </c>
      <c r="BS85">
        <v>41913</v>
      </c>
      <c r="BT85" s="3">
        <f t="shared" si="112"/>
        <v>6.3633644621436522E-3</v>
      </c>
      <c r="BU85">
        <v>3379</v>
      </c>
      <c r="BV85" s="3">
        <f t="shared" si="113"/>
        <v>1.5031673725043595E-2</v>
      </c>
      <c r="BW85">
        <v>26</v>
      </c>
      <c r="BX85" s="3">
        <f t="shared" si="114"/>
        <v>1.9240731147783616E-3</v>
      </c>
      <c r="BY85">
        <v>830</v>
      </c>
      <c r="BZ85" s="3">
        <f t="shared" si="115"/>
        <v>1.4120449132357944E-3</v>
      </c>
      <c r="CA85" s="1">
        <v>31640</v>
      </c>
      <c r="CB85">
        <v>11640</v>
      </c>
      <c r="CC85" s="3">
        <f t="shared" si="116"/>
        <v>3.7645536869340235E-3</v>
      </c>
      <c r="CD85">
        <v>101500</v>
      </c>
      <c r="CE85" s="3">
        <f t="shared" si="117"/>
        <v>4.7719793135872117E-3</v>
      </c>
      <c r="CF85" s="2">
        <v>77474</v>
      </c>
      <c r="CG85" s="3">
        <f t="shared" si="118"/>
        <v>0.99546889089533297</v>
      </c>
      <c r="CH85" s="2">
        <v>0</v>
      </c>
      <c r="CI85" s="3">
        <f t="shared" si="119"/>
        <v>1</v>
      </c>
      <c r="CJ85" s="2">
        <v>2322</v>
      </c>
      <c r="CK85" s="3">
        <f t="shared" si="120"/>
        <v>0.89660239568954003</v>
      </c>
      <c r="CL85" s="1">
        <v>587</v>
      </c>
    </row>
    <row r="86" spans="1:90" x14ac:dyDescent="0.3">
      <c r="A86" t="s">
        <v>214</v>
      </c>
      <c r="B86" t="s">
        <v>215</v>
      </c>
      <c r="C86">
        <v>84</v>
      </c>
      <c r="D86" s="9">
        <f t="shared" si="127"/>
        <v>54</v>
      </c>
      <c r="E86" s="9">
        <f t="shared" si="85"/>
        <v>3.8526737155386006</v>
      </c>
      <c r="F86" s="1">
        <v>22235000</v>
      </c>
      <c r="G86">
        <v>10850000</v>
      </c>
      <c r="H86" s="3">
        <f t="shared" si="126"/>
        <v>1.4466666666666666E-2</v>
      </c>
      <c r="I86">
        <v>8755000</v>
      </c>
      <c r="J86" s="3">
        <f t="shared" si="121"/>
        <v>1.4143780290791599E-2</v>
      </c>
      <c r="K86">
        <v>330000</v>
      </c>
      <c r="L86" s="3">
        <f t="shared" si="122"/>
        <v>1.4410480349344978E-2</v>
      </c>
      <c r="M86">
        <v>300700</v>
      </c>
      <c r="N86" s="3">
        <f t="shared" si="123"/>
        <v>4.6656322730799067E-2</v>
      </c>
      <c r="O86">
        <v>202500</v>
      </c>
      <c r="P86" s="3">
        <f t="shared" si="124"/>
        <v>8.9601769911504425E-2</v>
      </c>
      <c r="Q86">
        <v>98200</v>
      </c>
      <c r="R86" s="3">
        <f t="shared" si="86"/>
        <v>1.7854545454545456E-2</v>
      </c>
      <c r="S86">
        <v>69</v>
      </c>
      <c r="T86" s="3">
        <f t="shared" si="87"/>
        <v>5.0138061328295304E-3</v>
      </c>
      <c r="U86">
        <v>1</v>
      </c>
      <c r="V86" s="3">
        <f t="shared" si="125"/>
        <v>4.3554006968641115E-4</v>
      </c>
      <c r="W86">
        <v>23</v>
      </c>
      <c r="X86" s="3">
        <f t="shared" si="88"/>
        <v>8.2585278276481149E-3</v>
      </c>
      <c r="Y86">
        <v>51</v>
      </c>
      <c r="Z86" s="3">
        <f t="shared" si="89"/>
        <v>8.8865656037637221E-3</v>
      </c>
      <c r="AA86">
        <v>6</v>
      </c>
      <c r="AB86" s="3">
        <f t="shared" si="90"/>
        <v>2.1193924408336277E-3</v>
      </c>
      <c r="AC86">
        <v>45</v>
      </c>
      <c r="AD86" s="3">
        <f t="shared" si="91"/>
        <v>7.4196207749381701E-3</v>
      </c>
      <c r="AE86">
        <v>9</v>
      </c>
      <c r="AF86" s="3">
        <f t="shared" si="92"/>
        <v>9.5036958817317843E-3</v>
      </c>
      <c r="AG86">
        <v>102</v>
      </c>
      <c r="AH86" s="3">
        <f t="shared" si="93"/>
        <v>5.0455085081123861E-3</v>
      </c>
      <c r="AI86">
        <v>571</v>
      </c>
      <c r="AJ86" s="3">
        <f t="shared" si="94"/>
        <v>1.3905800983878037E-2</v>
      </c>
      <c r="AK86">
        <v>0</v>
      </c>
      <c r="AL86" s="3">
        <f t="shared" si="95"/>
        <v>0</v>
      </c>
      <c r="AM86">
        <v>154</v>
      </c>
      <c r="AN86" s="3">
        <f t="shared" si="96"/>
        <v>2.0771513353115726E-2</v>
      </c>
      <c r="AO86">
        <v>27</v>
      </c>
      <c r="AP86" s="3">
        <f t="shared" si="97"/>
        <v>7.1183759557078832E-3</v>
      </c>
      <c r="AQ86">
        <v>40</v>
      </c>
      <c r="AR86" s="3">
        <f t="shared" si="98"/>
        <v>4.1365046535677352E-2</v>
      </c>
      <c r="AS86">
        <v>0</v>
      </c>
      <c r="AT86" s="3">
        <f t="shared" si="99"/>
        <v>0</v>
      </c>
      <c r="AU86">
        <v>0</v>
      </c>
      <c r="AV86" s="3">
        <f t="shared" si="100"/>
        <v>0</v>
      </c>
      <c r="AW86">
        <v>0</v>
      </c>
      <c r="AX86" s="3">
        <f t="shared" si="101"/>
        <v>0</v>
      </c>
      <c r="AY86">
        <v>0</v>
      </c>
      <c r="AZ86" s="3">
        <f t="shared" si="102"/>
        <v>0</v>
      </c>
      <c r="BA86">
        <v>0</v>
      </c>
      <c r="BB86" s="3">
        <f t="shared" si="103"/>
        <v>0</v>
      </c>
      <c r="BC86">
        <v>190</v>
      </c>
      <c r="BD86" s="3">
        <f t="shared" si="104"/>
        <v>0.43378995433789952</v>
      </c>
      <c r="BE86">
        <v>0</v>
      </c>
      <c r="BF86" s="3">
        <f t="shared" si="105"/>
        <v>0</v>
      </c>
      <c r="BG86">
        <v>0</v>
      </c>
      <c r="BH86" s="3">
        <f t="shared" si="106"/>
        <v>0</v>
      </c>
      <c r="BI86">
        <v>95000</v>
      </c>
      <c r="BJ86" s="3">
        <f t="shared" si="107"/>
        <v>5.0000000000000001E-3</v>
      </c>
      <c r="BK86">
        <v>0</v>
      </c>
      <c r="BL86" s="3">
        <f t="shared" si="108"/>
        <v>0</v>
      </c>
      <c r="BM86">
        <v>9062000</v>
      </c>
      <c r="BN86" s="3">
        <f t="shared" si="109"/>
        <v>1.1244571286760143E-2</v>
      </c>
      <c r="BO86">
        <v>21</v>
      </c>
      <c r="BP86" s="3">
        <f t="shared" si="110"/>
        <v>3.2745984718540464E-3</v>
      </c>
      <c r="BQ86">
        <v>1</v>
      </c>
      <c r="BR86" s="3">
        <f t="shared" si="111"/>
        <v>4.1666666666666664E-2</v>
      </c>
      <c r="BS86">
        <v>114093</v>
      </c>
      <c r="BT86" s="3">
        <f t="shared" si="112"/>
        <v>1.7321960765856792E-2</v>
      </c>
      <c r="BU86">
        <v>1449</v>
      </c>
      <c r="BV86" s="3">
        <f t="shared" si="113"/>
        <v>6.4459589309228084E-3</v>
      </c>
      <c r="BW86">
        <v>19</v>
      </c>
      <c r="BX86" s="3">
        <f t="shared" si="114"/>
        <v>1.4060534300303412E-3</v>
      </c>
      <c r="BY86">
        <v>1500</v>
      </c>
      <c r="BZ86" s="3">
        <f t="shared" si="115"/>
        <v>2.5518883974140864E-3</v>
      </c>
      <c r="CA86" s="1">
        <v>47650</v>
      </c>
      <c r="CB86">
        <v>7060</v>
      </c>
      <c r="CC86" s="3">
        <f t="shared" si="116"/>
        <v>2.2833117723156534E-3</v>
      </c>
      <c r="CD86">
        <v>237800</v>
      </c>
      <c r="CE86" s="3">
        <f t="shared" si="117"/>
        <v>1.1180065820404326E-2</v>
      </c>
      <c r="CF86" s="2">
        <v>65610</v>
      </c>
      <c r="CG86" s="3">
        <f t="shared" si="118"/>
        <v>0.99616276339988641</v>
      </c>
      <c r="CH86" s="2">
        <v>1340</v>
      </c>
      <c r="CI86" s="3">
        <f t="shared" si="119"/>
        <v>0.99336896278701503</v>
      </c>
      <c r="CJ86" s="2">
        <v>0</v>
      </c>
      <c r="CK86" s="3">
        <f t="shared" si="120"/>
        <v>1</v>
      </c>
      <c r="CL86" s="1">
        <v>160</v>
      </c>
    </row>
    <row r="87" spans="1:90" x14ac:dyDescent="0.3">
      <c r="A87" t="s">
        <v>216</v>
      </c>
      <c r="B87" t="s">
        <v>217</v>
      </c>
      <c r="C87">
        <v>85</v>
      </c>
      <c r="D87" s="9">
        <f t="shared" si="127"/>
        <v>126</v>
      </c>
      <c r="E87" s="9">
        <f t="shared" si="85"/>
        <v>2.8754053505927901</v>
      </c>
      <c r="F87" s="1">
        <v>15510711</v>
      </c>
      <c r="G87">
        <v>6000000</v>
      </c>
      <c r="H87" s="3">
        <f t="shared" si="126"/>
        <v>8.0000000000000002E-3</v>
      </c>
      <c r="I87">
        <v>3435000</v>
      </c>
      <c r="J87" s="3">
        <f t="shared" si="121"/>
        <v>5.5492730210016158E-3</v>
      </c>
      <c r="K87">
        <v>320000</v>
      </c>
      <c r="L87" s="3">
        <f t="shared" si="122"/>
        <v>1.3973799126637555E-2</v>
      </c>
      <c r="M87">
        <v>19600</v>
      </c>
      <c r="N87" s="3">
        <f t="shared" si="123"/>
        <v>3.0411171450737007E-3</v>
      </c>
      <c r="O87">
        <v>15100</v>
      </c>
      <c r="P87" s="3">
        <f t="shared" si="124"/>
        <v>6.6814159292035401E-3</v>
      </c>
      <c r="Q87">
        <v>4500</v>
      </c>
      <c r="R87" s="3">
        <f t="shared" si="86"/>
        <v>8.1818181818181816E-4</v>
      </c>
      <c r="S87">
        <v>81</v>
      </c>
      <c r="T87" s="3">
        <f t="shared" si="87"/>
        <v>5.8857724167998837E-3</v>
      </c>
      <c r="U87">
        <v>18</v>
      </c>
      <c r="V87" s="3">
        <f t="shared" si="125"/>
        <v>7.8397212543554005E-3</v>
      </c>
      <c r="W87">
        <v>18</v>
      </c>
      <c r="X87" s="3">
        <f t="shared" si="88"/>
        <v>6.4631956912028724E-3</v>
      </c>
      <c r="Y87">
        <v>25</v>
      </c>
      <c r="Z87" s="3">
        <f t="shared" si="89"/>
        <v>4.3561596096880987E-3</v>
      </c>
      <c r="AA87">
        <v>29</v>
      </c>
      <c r="AB87" s="3">
        <f t="shared" si="90"/>
        <v>1.0243730130695867E-2</v>
      </c>
      <c r="AC87">
        <v>25</v>
      </c>
      <c r="AD87" s="3">
        <f t="shared" si="91"/>
        <v>4.1220115416323163E-3</v>
      </c>
      <c r="AE87">
        <v>0</v>
      </c>
      <c r="AF87" s="3">
        <f t="shared" si="92"/>
        <v>0</v>
      </c>
      <c r="AG87">
        <v>25</v>
      </c>
      <c r="AH87" s="3">
        <f t="shared" si="93"/>
        <v>1.2366442421844084E-3</v>
      </c>
      <c r="AI87">
        <v>234</v>
      </c>
      <c r="AJ87" s="3">
        <f t="shared" si="94"/>
        <v>5.6986995275437142E-3</v>
      </c>
      <c r="AK87">
        <v>0</v>
      </c>
      <c r="AL87" s="3">
        <f t="shared" si="95"/>
        <v>0</v>
      </c>
      <c r="AM87">
        <v>42</v>
      </c>
      <c r="AN87" s="3">
        <f t="shared" si="96"/>
        <v>5.6649581872133797E-3</v>
      </c>
      <c r="AO87">
        <v>50</v>
      </c>
      <c r="AP87" s="3">
        <f t="shared" si="97"/>
        <v>1.3182177695755339E-2</v>
      </c>
      <c r="AQ87">
        <v>0</v>
      </c>
      <c r="AR87" s="3">
        <f t="shared" si="98"/>
        <v>0</v>
      </c>
      <c r="AS87">
        <v>0</v>
      </c>
      <c r="AT87" s="3">
        <f t="shared" si="99"/>
        <v>0</v>
      </c>
      <c r="AU87">
        <v>0</v>
      </c>
      <c r="AV87" s="3">
        <f t="shared" si="100"/>
        <v>0</v>
      </c>
      <c r="AW87">
        <v>0</v>
      </c>
      <c r="AX87" s="3">
        <f t="shared" si="101"/>
        <v>0</v>
      </c>
      <c r="AY87">
        <v>0</v>
      </c>
      <c r="AZ87" s="3">
        <f t="shared" si="102"/>
        <v>0</v>
      </c>
      <c r="BA87">
        <v>0</v>
      </c>
      <c r="BB87" s="3">
        <f t="shared" si="103"/>
        <v>0</v>
      </c>
      <c r="BC87">
        <v>0</v>
      </c>
      <c r="BD87" s="3">
        <f t="shared" si="104"/>
        <v>0</v>
      </c>
      <c r="BE87">
        <v>0</v>
      </c>
      <c r="BF87" s="3">
        <f t="shared" si="105"/>
        <v>0</v>
      </c>
      <c r="BG87">
        <v>100</v>
      </c>
      <c r="BH87" s="3">
        <f t="shared" si="106"/>
        <v>9.8911968348170128E-6</v>
      </c>
      <c r="BI87">
        <v>21250</v>
      </c>
      <c r="BJ87" s="3">
        <f t="shared" si="107"/>
        <v>1.1184210526315789E-3</v>
      </c>
      <c r="BK87">
        <v>0</v>
      </c>
      <c r="BL87" s="3">
        <f t="shared" si="108"/>
        <v>0</v>
      </c>
      <c r="BM87">
        <v>7116000</v>
      </c>
      <c r="BN87" s="3">
        <f t="shared" si="109"/>
        <v>8.8298796376721674E-3</v>
      </c>
      <c r="BO87">
        <v>0</v>
      </c>
      <c r="BP87" s="3">
        <f t="shared" si="110"/>
        <v>0</v>
      </c>
      <c r="BQ87">
        <v>1</v>
      </c>
      <c r="BR87" s="3">
        <f t="shared" si="111"/>
        <v>4.1666666666666664E-2</v>
      </c>
      <c r="BS87">
        <v>91440</v>
      </c>
      <c r="BT87" s="3">
        <f t="shared" si="112"/>
        <v>1.3882710529392207E-2</v>
      </c>
      <c r="BU87">
        <v>2157</v>
      </c>
      <c r="BV87" s="3">
        <f t="shared" si="113"/>
        <v>9.595537207729812E-3</v>
      </c>
      <c r="BW87">
        <v>88</v>
      </c>
      <c r="BX87" s="3">
        <f t="shared" si="114"/>
        <v>6.5122474654036857E-3</v>
      </c>
      <c r="BY87">
        <v>245</v>
      </c>
      <c r="BZ87" s="3">
        <f t="shared" si="115"/>
        <v>4.1680843824430078E-4</v>
      </c>
      <c r="CA87" s="1">
        <v>9270</v>
      </c>
      <c r="CB87">
        <v>2046</v>
      </c>
      <c r="CC87" s="3">
        <f t="shared" si="116"/>
        <v>6.6170763260025873E-4</v>
      </c>
      <c r="CD87">
        <v>65170</v>
      </c>
      <c r="CE87" s="3">
        <f t="shared" si="117"/>
        <v>3.0639398213446168E-3</v>
      </c>
      <c r="CF87" s="2">
        <v>752618</v>
      </c>
      <c r="CG87" s="3">
        <f t="shared" si="118"/>
        <v>0.95598272617734614</v>
      </c>
      <c r="CH87" s="2">
        <v>0</v>
      </c>
      <c r="CI87" s="3">
        <f t="shared" si="119"/>
        <v>1</v>
      </c>
      <c r="CJ87" s="2">
        <v>6043</v>
      </c>
      <c r="CK87" s="3">
        <f t="shared" si="120"/>
        <v>0.73090795742975456</v>
      </c>
      <c r="CL87" s="1">
        <v>2250</v>
      </c>
    </row>
    <row r="88" spans="1:90" x14ac:dyDescent="0.3">
      <c r="A88" t="s">
        <v>218</v>
      </c>
      <c r="B88" t="s">
        <v>219</v>
      </c>
      <c r="C88">
        <v>86</v>
      </c>
      <c r="D88" s="9">
        <f t="shared" si="127"/>
        <v>103</v>
      </c>
      <c r="E88" s="9">
        <f t="shared" si="85"/>
        <v>3.1455467980409919</v>
      </c>
      <c r="F88" s="1">
        <v>5291317</v>
      </c>
      <c r="G88">
        <v>2770000</v>
      </c>
      <c r="H88" s="3">
        <f t="shared" si="126"/>
        <v>3.6933333333333332E-3</v>
      </c>
      <c r="I88">
        <v>2255000</v>
      </c>
      <c r="J88" s="3">
        <f t="shared" si="121"/>
        <v>3.64297253634895E-3</v>
      </c>
      <c r="K88">
        <v>110000</v>
      </c>
      <c r="L88" s="3">
        <f t="shared" si="122"/>
        <v>4.8034934497816597E-3</v>
      </c>
      <c r="M88">
        <v>30000</v>
      </c>
      <c r="N88" s="3">
        <f t="shared" si="123"/>
        <v>4.6547711404189293E-3</v>
      </c>
      <c r="O88">
        <v>30000</v>
      </c>
      <c r="P88" s="3">
        <f t="shared" si="124"/>
        <v>1.3274336283185841E-2</v>
      </c>
      <c r="Q88">
        <v>0</v>
      </c>
      <c r="R88" s="3">
        <f t="shared" si="86"/>
        <v>0</v>
      </c>
      <c r="S88">
        <v>72</v>
      </c>
      <c r="T88" s="3">
        <f t="shared" si="87"/>
        <v>5.2317977038221185E-3</v>
      </c>
      <c r="U88">
        <v>24</v>
      </c>
      <c r="V88" s="3">
        <f t="shared" si="125"/>
        <v>1.0452961672473868E-2</v>
      </c>
      <c r="W88">
        <v>44</v>
      </c>
      <c r="X88" s="3">
        <f t="shared" si="88"/>
        <v>1.5798922800718134E-2</v>
      </c>
      <c r="Y88">
        <v>18</v>
      </c>
      <c r="Z88" s="3">
        <f t="shared" si="89"/>
        <v>3.1364349189754314E-3</v>
      </c>
      <c r="AA88">
        <v>0</v>
      </c>
      <c r="AB88" s="3">
        <f t="shared" si="90"/>
        <v>0</v>
      </c>
      <c r="AC88">
        <v>25</v>
      </c>
      <c r="AD88" s="3">
        <f t="shared" si="91"/>
        <v>4.1220115416323163E-3</v>
      </c>
      <c r="AE88">
        <v>10</v>
      </c>
      <c r="AF88" s="3">
        <f t="shared" si="92"/>
        <v>1.0559662090813094E-2</v>
      </c>
      <c r="AG88">
        <v>712</v>
      </c>
      <c r="AH88" s="3">
        <f t="shared" si="93"/>
        <v>3.521962801741195E-2</v>
      </c>
      <c r="AI88">
        <v>1941</v>
      </c>
      <c r="AJ88" s="3">
        <f t="shared" si="94"/>
        <v>4.7269981978471577E-2</v>
      </c>
      <c r="AK88">
        <v>68</v>
      </c>
      <c r="AL88" s="3">
        <f t="shared" si="95"/>
        <v>1.1386470194239785E-2</v>
      </c>
      <c r="AM88">
        <v>269</v>
      </c>
      <c r="AN88" s="3">
        <f t="shared" si="96"/>
        <v>3.6282708389533312E-2</v>
      </c>
      <c r="AO88">
        <v>110</v>
      </c>
      <c r="AP88" s="3">
        <f t="shared" si="97"/>
        <v>2.9000790930661744E-2</v>
      </c>
      <c r="AQ88">
        <v>4</v>
      </c>
      <c r="AR88" s="3">
        <f t="shared" si="98"/>
        <v>4.1365046535677356E-3</v>
      </c>
      <c r="AS88">
        <v>0</v>
      </c>
      <c r="AT88" s="3">
        <f t="shared" si="99"/>
        <v>0</v>
      </c>
      <c r="AU88">
        <v>0</v>
      </c>
      <c r="AV88" s="3">
        <f t="shared" si="100"/>
        <v>0</v>
      </c>
      <c r="AW88">
        <v>0</v>
      </c>
      <c r="AX88" s="3">
        <f t="shared" si="101"/>
        <v>0</v>
      </c>
      <c r="AY88">
        <v>0</v>
      </c>
      <c r="AZ88" s="3">
        <f t="shared" si="102"/>
        <v>0</v>
      </c>
      <c r="BA88">
        <v>0</v>
      </c>
      <c r="BB88" s="3">
        <f t="shared" si="103"/>
        <v>0</v>
      </c>
      <c r="BC88">
        <v>6</v>
      </c>
      <c r="BD88" s="3">
        <f t="shared" si="104"/>
        <v>1.3698630136986301E-2</v>
      </c>
      <c r="BE88">
        <v>0</v>
      </c>
      <c r="BF88" s="3">
        <f t="shared" si="105"/>
        <v>0</v>
      </c>
      <c r="BG88">
        <v>242900</v>
      </c>
      <c r="BH88" s="3">
        <f t="shared" si="106"/>
        <v>2.4025717111770525E-2</v>
      </c>
      <c r="BI88">
        <v>132350</v>
      </c>
      <c r="BJ88" s="3">
        <f t="shared" si="107"/>
        <v>6.9657894736842108E-3</v>
      </c>
      <c r="BK88">
        <v>600000000</v>
      </c>
      <c r="BL88" s="3">
        <f t="shared" si="108"/>
        <v>2E-3</v>
      </c>
      <c r="BM88">
        <v>2305000</v>
      </c>
      <c r="BN88" s="3">
        <f t="shared" si="109"/>
        <v>2.8601563469413077E-3</v>
      </c>
      <c r="BO88">
        <v>11</v>
      </c>
      <c r="BP88" s="3">
        <f t="shared" si="110"/>
        <v>1.7152658662092624E-3</v>
      </c>
      <c r="BQ88">
        <v>1</v>
      </c>
      <c r="BR88" s="3">
        <f t="shared" si="111"/>
        <v>4.1666666666666664E-2</v>
      </c>
      <c r="BS88">
        <v>58592</v>
      </c>
      <c r="BT88" s="3">
        <f t="shared" si="112"/>
        <v>8.8956230898747605E-3</v>
      </c>
      <c r="BU88">
        <v>2980</v>
      </c>
      <c r="BV88" s="3">
        <f t="shared" si="113"/>
        <v>1.3256699526673547E-2</v>
      </c>
      <c r="BW88">
        <v>26</v>
      </c>
      <c r="BX88" s="3">
        <f t="shared" si="114"/>
        <v>1.9240731147783616E-3</v>
      </c>
      <c r="BY88">
        <v>200</v>
      </c>
      <c r="BZ88" s="3">
        <f t="shared" si="115"/>
        <v>3.4025178632187818E-4</v>
      </c>
      <c r="CA88" s="1">
        <v>502</v>
      </c>
      <c r="CB88">
        <v>10900</v>
      </c>
      <c r="CC88" s="3">
        <f t="shared" si="116"/>
        <v>3.5252263906856403E-3</v>
      </c>
      <c r="CD88">
        <v>94770</v>
      </c>
      <c r="CE88" s="3">
        <f t="shared" si="117"/>
        <v>4.4555712270803946E-3</v>
      </c>
      <c r="CF88" s="2">
        <v>488100</v>
      </c>
      <c r="CG88" s="3">
        <f t="shared" si="118"/>
        <v>0.9714532055400783</v>
      </c>
      <c r="CH88" s="2">
        <v>1768</v>
      </c>
      <c r="CI88" s="3">
        <f t="shared" si="119"/>
        <v>0.99125098970704673</v>
      </c>
      <c r="CJ88" s="2">
        <v>4158</v>
      </c>
      <c r="CK88" s="3">
        <f t="shared" si="120"/>
        <v>0.81484615042080422</v>
      </c>
      <c r="CL88" s="1">
        <v>1300</v>
      </c>
    </row>
    <row r="89" spans="1:90" x14ac:dyDescent="0.3">
      <c r="A89" t="s">
        <v>220</v>
      </c>
      <c r="B89" t="s">
        <v>221</v>
      </c>
      <c r="C89">
        <v>87</v>
      </c>
      <c r="D89" s="9">
        <f t="shared" si="127"/>
        <v>130</v>
      </c>
      <c r="E89" s="9">
        <f t="shared" si="85"/>
        <v>2.7736447758998715</v>
      </c>
      <c r="F89" s="1">
        <v>3031330</v>
      </c>
      <c r="G89">
        <v>1800000</v>
      </c>
      <c r="H89" s="3">
        <f t="shared" si="126"/>
        <v>2.3999999999999998E-3</v>
      </c>
      <c r="I89">
        <v>1500000</v>
      </c>
      <c r="J89" s="3">
        <f t="shared" si="121"/>
        <v>2.4232633279483036E-3</v>
      </c>
      <c r="K89">
        <v>61000</v>
      </c>
      <c r="L89" s="3">
        <f t="shared" si="122"/>
        <v>2.6637554585152838E-3</v>
      </c>
      <c r="M89">
        <v>150275</v>
      </c>
      <c r="N89" s="3">
        <f t="shared" si="123"/>
        <v>2.3316524437548489E-2</v>
      </c>
      <c r="O89">
        <v>10275</v>
      </c>
      <c r="P89" s="3">
        <f t="shared" si="124"/>
        <v>4.5464601769911505E-3</v>
      </c>
      <c r="Q89">
        <v>140000</v>
      </c>
      <c r="R89" s="3">
        <f t="shared" si="86"/>
        <v>2.5454545454545455E-2</v>
      </c>
      <c r="S89">
        <v>9</v>
      </c>
      <c r="T89" s="3">
        <f t="shared" si="87"/>
        <v>6.5397471297776481E-4</v>
      </c>
      <c r="U89">
        <v>0</v>
      </c>
      <c r="V89" s="3">
        <f t="shared" si="125"/>
        <v>0</v>
      </c>
      <c r="W89">
        <v>0</v>
      </c>
      <c r="X89" s="3">
        <f t="shared" si="88"/>
        <v>0</v>
      </c>
      <c r="Y89">
        <v>10</v>
      </c>
      <c r="Z89" s="3">
        <f t="shared" si="89"/>
        <v>1.7424638438752395E-3</v>
      </c>
      <c r="AA89">
        <v>0</v>
      </c>
      <c r="AB89" s="3">
        <f t="shared" si="90"/>
        <v>0</v>
      </c>
      <c r="AC89">
        <v>6</v>
      </c>
      <c r="AD89" s="3">
        <f t="shared" si="91"/>
        <v>9.8928276999175608E-4</v>
      </c>
      <c r="AE89">
        <v>0</v>
      </c>
      <c r="AF89" s="3">
        <f t="shared" si="92"/>
        <v>0</v>
      </c>
      <c r="AG89">
        <v>420</v>
      </c>
      <c r="AH89" s="3">
        <f t="shared" si="93"/>
        <v>2.077562326869806E-2</v>
      </c>
      <c r="AI89">
        <v>640</v>
      </c>
      <c r="AJ89" s="3">
        <f t="shared" si="94"/>
        <v>1.5586186741999903E-2</v>
      </c>
      <c r="AK89">
        <v>0</v>
      </c>
      <c r="AL89" s="3">
        <f t="shared" si="95"/>
        <v>0</v>
      </c>
      <c r="AM89">
        <v>300</v>
      </c>
      <c r="AN89" s="3">
        <f t="shared" si="96"/>
        <v>4.0463987051524146E-2</v>
      </c>
      <c r="AO89">
        <v>130</v>
      </c>
      <c r="AP89" s="3">
        <f t="shared" si="97"/>
        <v>3.4273662008963882E-2</v>
      </c>
      <c r="AQ89">
        <v>0</v>
      </c>
      <c r="AR89" s="3">
        <f t="shared" si="98"/>
        <v>0</v>
      </c>
      <c r="AS89">
        <v>0</v>
      </c>
      <c r="AT89" s="3">
        <f t="shared" si="99"/>
        <v>0</v>
      </c>
      <c r="AU89">
        <v>0</v>
      </c>
      <c r="AV89" s="3">
        <f t="shared" si="100"/>
        <v>0</v>
      </c>
      <c r="AW89">
        <v>0</v>
      </c>
      <c r="AX89" s="3">
        <f t="shared" si="101"/>
        <v>0</v>
      </c>
      <c r="AY89">
        <v>0</v>
      </c>
      <c r="AZ89" s="3">
        <f t="shared" si="102"/>
        <v>0</v>
      </c>
      <c r="BA89">
        <v>0</v>
      </c>
      <c r="BB89" s="3">
        <f t="shared" si="103"/>
        <v>0</v>
      </c>
      <c r="BC89">
        <v>0</v>
      </c>
      <c r="BD89" s="3">
        <f t="shared" si="104"/>
        <v>0</v>
      </c>
      <c r="BE89">
        <v>0</v>
      </c>
      <c r="BF89" s="3">
        <f t="shared" si="105"/>
        <v>0</v>
      </c>
      <c r="BG89">
        <v>20850</v>
      </c>
      <c r="BH89" s="3">
        <f t="shared" si="106"/>
        <v>2.0623145400593471E-3</v>
      </c>
      <c r="BI89">
        <v>25110</v>
      </c>
      <c r="BJ89" s="3">
        <f t="shared" si="107"/>
        <v>1.321578947368421E-3</v>
      </c>
      <c r="BK89">
        <v>500000</v>
      </c>
      <c r="BL89" s="3">
        <f t="shared" si="108"/>
        <v>1.6666666666666667E-6</v>
      </c>
      <c r="BM89">
        <v>11640000</v>
      </c>
      <c r="BN89" s="3">
        <f t="shared" si="109"/>
        <v>1.4443479339868471E-2</v>
      </c>
      <c r="BO89">
        <v>57</v>
      </c>
      <c r="BP89" s="3">
        <f t="shared" si="110"/>
        <v>8.8881958521752694E-3</v>
      </c>
      <c r="BQ89">
        <v>0</v>
      </c>
      <c r="BR89" s="3">
        <f t="shared" si="111"/>
        <v>0</v>
      </c>
      <c r="BS89">
        <v>49249</v>
      </c>
      <c r="BT89" s="3">
        <f t="shared" si="112"/>
        <v>7.4771392264002274E-3</v>
      </c>
      <c r="BU89">
        <v>1908</v>
      </c>
      <c r="BV89" s="3">
        <f t="shared" si="113"/>
        <v>8.4878465425815858E-3</v>
      </c>
      <c r="BW89">
        <v>44</v>
      </c>
      <c r="BX89" s="3">
        <f t="shared" si="114"/>
        <v>3.2561237327018429E-3</v>
      </c>
      <c r="BY89">
        <v>70</v>
      </c>
      <c r="BZ89" s="3">
        <f t="shared" si="115"/>
        <v>1.1908812521265736E-4</v>
      </c>
      <c r="CA89" s="1">
        <v>18670</v>
      </c>
      <c r="CB89">
        <v>6000</v>
      </c>
      <c r="CC89" s="3">
        <f t="shared" si="116"/>
        <v>1.9404915912031048E-3</v>
      </c>
      <c r="CD89">
        <v>36650</v>
      </c>
      <c r="CE89" s="3">
        <f t="shared" si="117"/>
        <v>1.7230841560883874E-3</v>
      </c>
      <c r="CF89" s="2">
        <v>1564116</v>
      </c>
      <c r="CG89" s="3">
        <f t="shared" si="118"/>
        <v>0.9085218234716762</v>
      </c>
      <c r="CH89" s="2">
        <v>0</v>
      </c>
      <c r="CI89" s="3">
        <f t="shared" si="119"/>
        <v>1</v>
      </c>
      <c r="CJ89" s="2">
        <v>8082</v>
      </c>
      <c r="CK89" s="3">
        <f t="shared" si="120"/>
        <v>0.64011221445429034</v>
      </c>
      <c r="CL89" s="1">
        <v>580</v>
      </c>
    </row>
    <row r="90" spans="1:90" x14ac:dyDescent="0.3">
      <c r="A90" t="s">
        <v>222</v>
      </c>
      <c r="B90" t="s">
        <v>223</v>
      </c>
      <c r="C90">
        <v>88</v>
      </c>
      <c r="D90" s="9">
        <f t="shared" si="127"/>
        <v>131</v>
      </c>
      <c r="E90" s="9">
        <f t="shared" si="85"/>
        <v>2.7623750892462855</v>
      </c>
      <c r="F90" s="1">
        <v>11852462</v>
      </c>
      <c r="G90">
        <v>4600000</v>
      </c>
      <c r="H90" s="3">
        <f t="shared" si="126"/>
        <v>6.1333333333333335E-3</v>
      </c>
      <c r="I90">
        <v>2580000</v>
      </c>
      <c r="J90" s="3">
        <f t="shared" si="121"/>
        <v>4.1680129240710823E-3</v>
      </c>
      <c r="K90">
        <v>260000</v>
      </c>
      <c r="L90" s="3">
        <f t="shared" si="122"/>
        <v>1.1353711790393014E-2</v>
      </c>
      <c r="M90">
        <v>30500</v>
      </c>
      <c r="N90" s="3">
        <f t="shared" si="123"/>
        <v>4.7323506594259112E-3</v>
      </c>
      <c r="O90">
        <v>30500</v>
      </c>
      <c r="P90" s="3">
        <f t="shared" si="124"/>
        <v>1.3495575221238938E-2</v>
      </c>
      <c r="Q90">
        <v>0</v>
      </c>
      <c r="R90" s="3">
        <f t="shared" si="86"/>
        <v>0</v>
      </c>
      <c r="S90">
        <v>38</v>
      </c>
      <c r="T90" s="3">
        <f t="shared" si="87"/>
        <v>2.7612265659061183E-3</v>
      </c>
      <c r="U90">
        <v>1</v>
      </c>
      <c r="V90" s="3">
        <f t="shared" si="125"/>
        <v>4.3554006968641115E-4</v>
      </c>
      <c r="W90">
        <v>9</v>
      </c>
      <c r="X90" s="3">
        <f t="shared" si="88"/>
        <v>3.2315978456014362E-3</v>
      </c>
      <c r="Y90">
        <v>20</v>
      </c>
      <c r="Z90" s="3">
        <f t="shared" si="89"/>
        <v>3.484927687750479E-3</v>
      </c>
      <c r="AA90">
        <v>4</v>
      </c>
      <c r="AB90" s="3">
        <f t="shared" si="90"/>
        <v>1.4129282938890851E-3</v>
      </c>
      <c r="AC90">
        <v>19</v>
      </c>
      <c r="AD90" s="3">
        <f t="shared" si="91"/>
        <v>3.1327287716405605E-3</v>
      </c>
      <c r="AE90">
        <v>5</v>
      </c>
      <c r="AF90" s="3">
        <f t="shared" si="92"/>
        <v>5.279831045406547E-3</v>
      </c>
      <c r="AG90">
        <v>60</v>
      </c>
      <c r="AH90" s="3">
        <f t="shared" si="93"/>
        <v>2.9679461812425799E-3</v>
      </c>
      <c r="AI90">
        <v>332</v>
      </c>
      <c r="AJ90" s="3">
        <f t="shared" si="94"/>
        <v>8.0853343724124494E-3</v>
      </c>
      <c r="AK90">
        <v>10</v>
      </c>
      <c r="AL90" s="3">
        <f t="shared" si="95"/>
        <v>1.6744809109176155E-3</v>
      </c>
      <c r="AM90">
        <v>51</v>
      </c>
      <c r="AN90" s="3">
        <f t="shared" si="96"/>
        <v>6.8788777987591043E-3</v>
      </c>
      <c r="AO90">
        <v>10</v>
      </c>
      <c r="AP90" s="3">
        <f t="shared" si="97"/>
        <v>2.6364355391510679E-3</v>
      </c>
      <c r="AQ90">
        <v>0</v>
      </c>
      <c r="AR90" s="3">
        <f t="shared" si="98"/>
        <v>0</v>
      </c>
      <c r="AS90">
        <v>0</v>
      </c>
      <c r="AT90" s="3">
        <f t="shared" si="99"/>
        <v>0</v>
      </c>
      <c r="AU90">
        <v>0</v>
      </c>
      <c r="AV90" s="3">
        <f t="shared" si="100"/>
        <v>0</v>
      </c>
      <c r="AW90">
        <v>0</v>
      </c>
      <c r="AX90" s="3">
        <f t="shared" si="101"/>
        <v>0</v>
      </c>
      <c r="AY90">
        <v>0</v>
      </c>
      <c r="AZ90" s="3">
        <f t="shared" si="102"/>
        <v>0</v>
      </c>
      <c r="BA90">
        <v>0</v>
      </c>
      <c r="BB90" s="3">
        <f t="shared" si="103"/>
        <v>0</v>
      </c>
      <c r="BC90">
        <v>0</v>
      </c>
      <c r="BD90" s="3">
        <f t="shared" si="104"/>
        <v>0</v>
      </c>
      <c r="BE90">
        <v>0</v>
      </c>
      <c r="BF90" s="3">
        <f t="shared" si="105"/>
        <v>0</v>
      </c>
      <c r="BG90">
        <v>103400</v>
      </c>
      <c r="BH90" s="3">
        <f t="shared" si="106"/>
        <v>1.0227497527200792E-2</v>
      </c>
      <c r="BI90">
        <v>125000</v>
      </c>
      <c r="BJ90" s="3">
        <f t="shared" si="107"/>
        <v>6.5789473684210523E-3</v>
      </c>
      <c r="BK90">
        <v>1500000000</v>
      </c>
      <c r="BL90" s="3">
        <f t="shared" si="108"/>
        <v>5.0000000000000001E-3</v>
      </c>
      <c r="BM90">
        <v>5457000</v>
      </c>
      <c r="BN90" s="3">
        <f t="shared" si="109"/>
        <v>6.771311577118749E-3</v>
      </c>
      <c r="BO90">
        <v>0</v>
      </c>
      <c r="BP90" s="3">
        <f t="shared" si="110"/>
        <v>0</v>
      </c>
      <c r="BQ90">
        <v>0</v>
      </c>
      <c r="BR90" s="3">
        <f t="shared" si="111"/>
        <v>0</v>
      </c>
      <c r="BS90">
        <v>40000</v>
      </c>
      <c r="BT90" s="3">
        <f t="shared" si="112"/>
        <v>6.0729267407664943E-3</v>
      </c>
      <c r="BU90">
        <v>0</v>
      </c>
      <c r="BV90" s="3">
        <f t="shared" si="113"/>
        <v>0</v>
      </c>
      <c r="BW90">
        <v>59</v>
      </c>
      <c r="BX90" s="3">
        <f t="shared" si="114"/>
        <v>4.3661659143047439E-3</v>
      </c>
      <c r="BY90">
        <v>120</v>
      </c>
      <c r="BZ90" s="3">
        <f t="shared" si="115"/>
        <v>2.0415107179312691E-4</v>
      </c>
      <c r="CA90" s="1">
        <v>1875</v>
      </c>
      <c r="CB90">
        <v>627</v>
      </c>
      <c r="CC90" s="3">
        <f t="shared" si="116"/>
        <v>2.0278137128072445E-4</v>
      </c>
      <c r="CD90">
        <v>30590</v>
      </c>
      <c r="CE90" s="3">
        <f t="shared" si="117"/>
        <v>1.4381758345086977E-3</v>
      </c>
      <c r="CF90" s="2">
        <v>1284000</v>
      </c>
      <c r="CG90" s="3">
        <f t="shared" si="118"/>
        <v>0.92490456036357427</v>
      </c>
      <c r="CH90" s="2">
        <v>0</v>
      </c>
      <c r="CI90" s="3">
        <f t="shared" si="119"/>
        <v>1</v>
      </c>
      <c r="CJ90" s="2">
        <v>6406</v>
      </c>
      <c r="CK90" s="3">
        <f t="shared" si="120"/>
        <v>0.71474373246649159</v>
      </c>
      <c r="CL90" s="1" t="s">
        <v>77</v>
      </c>
    </row>
    <row r="91" spans="1:90" x14ac:dyDescent="0.3">
      <c r="A91" t="s">
        <v>224</v>
      </c>
      <c r="B91" t="s">
        <v>225</v>
      </c>
      <c r="C91">
        <v>89</v>
      </c>
      <c r="D91" s="9">
        <f t="shared" si="127"/>
        <v>73</v>
      </c>
      <c r="E91" s="9">
        <f t="shared" si="85"/>
        <v>3.4119824148151565</v>
      </c>
      <c r="F91" s="1">
        <v>15957223</v>
      </c>
      <c r="G91">
        <v>8000000</v>
      </c>
      <c r="H91" s="3">
        <f t="shared" si="126"/>
        <v>1.0666666666666666E-2</v>
      </c>
      <c r="I91">
        <v>5605000</v>
      </c>
      <c r="J91" s="3">
        <f t="shared" si="121"/>
        <v>9.0549273021001617E-3</v>
      </c>
      <c r="K91">
        <v>310000</v>
      </c>
      <c r="L91" s="3">
        <f t="shared" si="122"/>
        <v>1.3537117903930132E-2</v>
      </c>
      <c r="M91">
        <v>195000</v>
      </c>
      <c r="N91" s="3">
        <f t="shared" si="123"/>
        <v>3.0256012412723042E-2</v>
      </c>
      <c r="O91">
        <v>125000</v>
      </c>
      <c r="P91" s="3">
        <f t="shared" si="124"/>
        <v>5.5309734513274339E-2</v>
      </c>
      <c r="Q91">
        <v>70000</v>
      </c>
      <c r="R91" s="3">
        <f t="shared" si="86"/>
        <v>1.2727272727272728E-2</v>
      </c>
      <c r="S91">
        <v>22</v>
      </c>
      <c r="T91" s="3">
        <f t="shared" si="87"/>
        <v>1.5986048539456475E-3</v>
      </c>
      <c r="U91">
        <v>0</v>
      </c>
      <c r="V91" s="3">
        <f t="shared" si="125"/>
        <v>0</v>
      </c>
      <c r="W91">
        <v>0</v>
      </c>
      <c r="X91" s="3">
        <f t="shared" si="88"/>
        <v>0</v>
      </c>
      <c r="Y91">
        <v>21</v>
      </c>
      <c r="Z91" s="3">
        <f t="shared" si="89"/>
        <v>3.6591740721380033E-3</v>
      </c>
      <c r="AA91">
        <v>0</v>
      </c>
      <c r="AB91" s="3">
        <f t="shared" si="90"/>
        <v>0</v>
      </c>
      <c r="AC91">
        <v>17</v>
      </c>
      <c r="AD91" s="3">
        <f t="shared" si="91"/>
        <v>2.8029678483099752E-3</v>
      </c>
      <c r="AE91">
        <v>0</v>
      </c>
      <c r="AF91" s="3">
        <f t="shared" si="92"/>
        <v>0</v>
      </c>
      <c r="AG91">
        <v>550</v>
      </c>
      <c r="AH91" s="3">
        <f t="shared" si="93"/>
        <v>2.7206173328056985E-2</v>
      </c>
      <c r="AI91">
        <v>300</v>
      </c>
      <c r="AJ91" s="3">
        <f t="shared" si="94"/>
        <v>7.3060250353124542E-3</v>
      </c>
      <c r="AK91">
        <v>0</v>
      </c>
      <c r="AL91" s="3">
        <f t="shared" si="95"/>
        <v>0</v>
      </c>
      <c r="AM91">
        <v>600</v>
      </c>
      <c r="AN91" s="3">
        <f t="shared" si="96"/>
        <v>8.0927974103048292E-2</v>
      </c>
      <c r="AO91">
        <v>0</v>
      </c>
      <c r="AP91" s="3">
        <f t="shared" si="97"/>
        <v>0</v>
      </c>
      <c r="AQ91">
        <v>27</v>
      </c>
      <c r="AR91" s="3">
        <f t="shared" si="98"/>
        <v>2.7921406411582212E-2</v>
      </c>
      <c r="AS91">
        <v>0</v>
      </c>
      <c r="AT91" s="3">
        <f t="shared" si="99"/>
        <v>0</v>
      </c>
      <c r="AU91">
        <v>0</v>
      </c>
      <c r="AV91" s="3">
        <f t="shared" si="100"/>
        <v>0</v>
      </c>
      <c r="AW91">
        <v>0</v>
      </c>
      <c r="AX91" s="3">
        <f t="shared" si="101"/>
        <v>0</v>
      </c>
      <c r="AY91">
        <v>0</v>
      </c>
      <c r="AZ91" s="3">
        <f t="shared" si="102"/>
        <v>0</v>
      </c>
      <c r="BA91">
        <v>0</v>
      </c>
      <c r="BB91" s="3">
        <f t="shared" si="103"/>
        <v>0</v>
      </c>
      <c r="BC91">
        <v>26</v>
      </c>
      <c r="BD91" s="3">
        <f t="shared" si="104"/>
        <v>5.9360730593607303E-2</v>
      </c>
      <c r="BE91">
        <v>0</v>
      </c>
      <c r="BF91" s="3">
        <f t="shared" si="105"/>
        <v>0</v>
      </c>
      <c r="BG91">
        <v>500</v>
      </c>
      <c r="BH91" s="3">
        <f t="shared" si="106"/>
        <v>4.9455984174085062E-5</v>
      </c>
      <c r="BI91">
        <v>48000</v>
      </c>
      <c r="BJ91" s="3">
        <f t="shared" si="107"/>
        <v>2.5263157894736842E-3</v>
      </c>
      <c r="BK91">
        <v>0</v>
      </c>
      <c r="BL91" s="3">
        <f t="shared" si="108"/>
        <v>0</v>
      </c>
      <c r="BM91">
        <v>6643000</v>
      </c>
      <c r="BN91" s="3">
        <f t="shared" si="109"/>
        <v>8.2429581833974447E-3</v>
      </c>
      <c r="BO91">
        <v>544</v>
      </c>
      <c r="BP91" s="3">
        <f t="shared" si="110"/>
        <v>8.4827693747076258E-2</v>
      </c>
      <c r="BQ91">
        <v>2</v>
      </c>
      <c r="BR91" s="3">
        <f t="shared" si="111"/>
        <v>8.3333333333333329E-2</v>
      </c>
      <c r="BS91">
        <v>39618</v>
      </c>
      <c r="BT91" s="3">
        <f t="shared" si="112"/>
        <v>6.0149302903921746E-3</v>
      </c>
      <c r="BU91">
        <v>690</v>
      </c>
      <c r="BV91" s="3">
        <f t="shared" si="113"/>
        <v>3.0695042528203851E-3</v>
      </c>
      <c r="BW91">
        <v>16</v>
      </c>
      <c r="BX91" s="3">
        <f t="shared" si="114"/>
        <v>1.1840449937097609E-3</v>
      </c>
      <c r="BY91">
        <v>192</v>
      </c>
      <c r="BZ91" s="3">
        <f t="shared" si="115"/>
        <v>3.2664171486900304E-4</v>
      </c>
      <c r="CA91" s="1">
        <v>8460</v>
      </c>
      <c r="CB91">
        <v>8477</v>
      </c>
      <c r="CC91" s="3">
        <f t="shared" si="116"/>
        <v>2.7415912031047867E-3</v>
      </c>
      <c r="CD91">
        <v>58940</v>
      </c>
      <c r="CE91" s="3">
        <f t="shared" si="117"/>
        <v>2.7710390220968498E-3</v>
      </c>
      <c r="CF91" s="2">
        <v>181035</v>
      </c>
      <c r="CG91" s="3">
        <f t="shared" si="118"/>
        <v>0.98941206938116799</v>
      </c>
      <c r="CH91" s="2">
        <v>443</v>
      </c>
      <c r="CI91" s="3">
        <f t="shared" si="119"/>
        <v>0.99780779889152815</v>
      </c>
      <c r="CJ91" s="2">
        <v>2530</v>
      </c>
      <c r="CK91" s="3">
        <f t="shared" si="120"/>
        <v>0.8873402502560449</v>
      </c>
      <c r="CL91" s="1">
        <v>3700</v>
      </c>
    </row>
    <row r="92" spans="1:90" x14ac:dyDescent="0.3">
      <c r="A92" t="s">
        <v>226</v>
      </c>
      <c r="B92" t="s">
        <v>227</v>
      </c>
      <c r="C92">
        <v>90</v>
      </c>
      <c r="D92" s="9">
        <f t="shared" si="127"/>
        <v>77</v>
      </c>
      <c r="E92" s="9">
        <f t="shared" si="85"/>
        <v>3.3690320400723071</v>
      </c>
      <c r="F92" s="1">
        <v>3038594</v>
      </c>
      <c r="G92">
        <v>1515000</v>
      </c>
      <c r="H92" s="3">
        <f t="shared" si="126"/>
        <v>2.0200000000000001E-3</v>
      </c>
      <c r="I92">
        <v>1300000</v>
      </c>
      <c r="J92" s="3">
        <f t="shared" si="121"/>
        <v>2.1001615508885298E-3</v>
      </c>
      <c r="K92">
        <v>62000</v>
      </c>
      <c r="L92" s="3">
        <f t="shared" si="122"/>
        <v>2.7074235807860261E-3</v>
      </c>
      <c r="M92">
        <v>64000</v>
      </c>
      <c r="N92" s="3">
        <f t="shared" si="123"/>
        <v>9.9301784328937152E-3</v>
      </c>
      <c r="O92">
        <v>50000</v>
      </c>
      <c r="P92" s="3">
        <f t="shared" si="124"/>
        <v>2.2123893805309734E-2</v>
      </c>
      <c r="Q92">
        <v>14000</v>
      </c>
      <c r="R92" s="3">
        <f t="shared" si="86"/>
        <v>2.5454545454545456E-3</v>
      </c>
      <c r="S92">
        <v>23</v>
      </c>
      <c r="T92" s="3">
        <f t="shared" si="87"/>
        <v>1.6712687109431768E-3</v>
      </c>
      <c r="U92">
        <v>0</v>
      </c>
      <c r="V92" s="3">
        <f t="shared" si="125"/>
        <v>0</v>
      </c>
      <c r="W92">
        <v>0</v>
      </c>
      <c r="X92" s="3">
        <f t="shared" si="88"/>
        <v>0</v>
      </c>
      <c r="Y92">
        <v>23</v>
      </c>
      <c r="Z92" s="3">
        <f t="shared" si="89"/>
        <v>4.007666840913051E-3</v>
      </c>
      <c r="AA92">
        <v>0</v>
      </c>
      <c r="AB92" s="3">
        <f t="shared" si="90"/>
        <v>0</v>
      </c>
      <c r="AC92">
        <v>23</v>
      </c>
      <c r="AD92" s="3">
        <f t="shared" si="91"/>
        <v>3.792250618301731E-3</v>
      </c>
      <c r="AE92">
        <v>0</v>
      </c>
      <c r="AF92" s="3">
        <f t="shared" si="92"/>
        <v>0</v>
      </c>
      <c r="AG92">
        <v>0</v>
      </c>
      <c r="AH92" s="3">
        <f t="shared" si="93"/>
        <v>0</v>
      </c>
      <c r="AI92">
        <v>933</v>
      </c>
      <c r="AJ92" s="3">
        <f t="shared" si="94"/>
        <v>2.2721737859821733E-2</v>
      </c>
      <c r="AK92">
        <v>0</v>
      </c>
      <c r="AL92" s="3">
        <f t="shared" si="95"/>
        <v>0</v>
      </c>
      <c r="AM92">
        <v>0</v>
      </c>
      <c r="AN92" s="3">
        <f t="shared" si="96"/>
        <v>0</v>
      </c>
      <c r="AO92">
        <v>0</v>
      </c>
      <c r="AP92" s="3">
        <f t="shared" si="97"/>
        <v>0</v>
      </c>
      <c r="AQ92">
        <v>38</v>
      </c>
      <c r="AR92" s="3">
        <f t="shared" si="98"/>
        <v>3.9296794208893482E-2</v>
      </c>
      <c r="AS92">
        <v>0</v>
      </c>
      <c r="AT92" s="3">
        <f t="shared" si="99"/>
        <v>0</v>
      </c>
      <c r="AU92">
        <v>0</v>
      </c>
      <c r="AV92" s="3">
        <f t="shared" si="100"/>
        <v>0</v>
      </c>
      <c r="AW92">
        <v>0</v>
      </c>
      <c r="AX92" s="3">
        <f t="shared" si="101"/>
        <v>0</v>
      </c>
      <c r="AY92">
        <v>0</v>
      </c>
      <c r="AZ92" s="3">
        <f t="shared" si="102"/>
        <v>0</v>
      </c>
      <c r="BA92">
        <v>0</v>
      </c>
      <c r="BB92" s="3">
        <f t="shared" si="103"/>
        <v>0</v>
      </c>
      <c r="BC92">
        <v>28</v>
      </c>
      <c r="BD92" s="3">
        <f t="shared" si="104"/>
        <v>6.3926940639269403E-2</v>
      </c>
      <c r="BE92">
        <v>2</v>
      </c>
      <c r="BF92" s="3">
        <f t="shared" si="105"/>
        <v>4.3478260869565216E-2</v>
      </c>
      <c r="BG92">
        <v>20510</v>
      </c>
      <c r="BH92" s="3">
        <f t="shared" si="106"/>
        <v>2.0286844708209692E-3</v>
      </c>
      <c r="BI92">
        <v>40000</v>
      </c>
      <c r="BJ92" s="3">
        <f t="shared" si="107"/>
        <v>2.1052631578947368E-3</v>
      </c>
      <c r="BK92">
        <v>200000000</v>
      </c>
      <c r="BL92" s="3">
        <f t="shared" si="108"/>
        <v>6.6666666666666664E-4</v>
      </c>
      <c r="BM92">
        <v>1179000</v>
      </c>
      <c r="BN92" s="3">
        <f t="shared" si="109"/>
        <v>1.462960665094925E-3</v>
      </c>
      <c r="BO92">
        <v>17</v>
      </c>
      <c r="BP92" s="3">
        <f t="shared" si="110"/>
        <v>2.6508654295961331E-3</v>
      </c>
      <c r="BQ92">
        <v>4</v>
      </c>
      <c r="BR92" s="3">
        <f t="shared" si="111"/>
        <v>0.16666666666666666</v>
      </c>
      <c r="BS92">
        <v>18000</v>
      </c>
      <c r="BT92" s="3">
        <f t="shared" si="112"/>
        <v>2.7328170333449225E-3</v>
      </c>
      <c r="BU92">
        <v>339</v>
      </c>
      <c r="BV92" s="3">
        <f t="shared" si="113"/>
        <v>1.5080607850813197E-3</v>
      </c>
      <c r="BW92">
        <v>4</v>
      </c>
      <c r="BX92" s="3">
        <f t="shared" si="114"/>
        <v>2.9601124842744024E-4</v>
      </c>
      <c r="BY92">
        <v>110</v>
      </c>
      <c r="BZ92" s="3">
        <f t="shared" si="115"/>
        <v>1.8713848247703301E-4</v>
      </c>
      <c r="CA92" s="1">
        <v>7797</v>
      </c>
      <c r="CB92">
        <v>3213</v>
      </c>
      <c r="CC92" s="3">
        <f t="shared" si="116"/>
        <v>1.0391332470892627E-3</v>
      </c>
      <c r="CD92">
        <v>34210</v>
      </c>
      <c r="CE92" s="3">
        <f t="shared" si="117"/>
        <v>1.6083685942642218E-3</v>
      </c>
      <c r="CF92" s="2">
        <v>28748</v>
      </c>
      <c r="CG92" s="3">
        <f t="shared" si="118"/>
        <v>0.99831865755555449</v>
      </c>
      <c r="CH92" s="2">
        <v>362</v>
      </c>
      <c r="CI92" s="3">
        <f t="shared" si="119"/>
        <v>0.99820863024544737</v>
      </c>
      <c r="CJ92" s="2">
        <v>691</v>
      </c>
      <c r="CK92" s="3">
        <f t="shared" si="120"/>
        <v>0.96923008416084067</v>
      </c>
      <c r="CL92" s="1">
        <v>41</v>
      </c>
    </row>
    <row r="93" spans="1:90" x14ac:dyDescent="0.3">
      <c r="A93" t="s">
        <v>228</v>
      </c>
      <c r="B93" t="s">
        <v>229</v>
      </c>
      <c r="C93">
        <v>91</v>
      </c>
      <c r="D93" s="9">
        <f t="shared" si="127"/>
        <v>58</v>
      </c>
      <c r="E93" s="9">
        <f t="shared" si="85"/>
        <v>3.72283079296193</v>
      </c>
      <c r="F93" s="1">
        <v>2258283</v>
      </c>
      <c r="G93">
        <v>600000</v>
      </c>
      <c r="H93" s="3">
        <f t="shared" si="126"/>
        <v>8.0000000000000004E-4</v>
      </c>
      <c r="I93">
        <v>465000</v>
      </c>
      <c r="J93" s="3">
        <f t="shared" si="121"/>
        <v>7.5121163166397417E-4</v>
      </c>
      <c r="K93">
        <v>12000</v>
      </c>
      <c r="L93" s="3">
        <f t="shared" si="122"/>
        <v>5.2401746724890829E-4</v>
      </c>
      <c r="M93">
        <v>12000</v>
      </c>
      <c r="N93" s="3">
        <f t="shared" si="123"/>
        <v>1.8619084561675718E-3</v>
      </c>
      <c r="O93">
        <v>12000</v>
      </c>
      <c r="P93" s="3">
        <f t="shared" si="124"/>
        <v>5.3097345132743362E-3</v>
      </c>
      <c r="Q93">
        <v>0</v>
      </c>
      <c r="R93" s="3">
        <f t="shared" si="86"/>
        <v>0</v>
      </c>
      <c r="S93">
        <v>98</v>
      </c>
      <c r="T93" s="3">
        <f t="shared" si="87"/>
        <v>7.1210579857578843E-3</v>
      </c>
      <c r="U93">
        <v>9</v>
      </c>
      <c r="V93" s="3">
        <f t="shared" si="125"/>
        <v>3.9198606271777002E-3</v>
      </c>
      <c r="W93">
        <v>15</v>
      </c>
      <c r="X93" s="3">
        <f t="shared" si="88"/>
        <v>5.3859964093357273E-3</v>
      </c>
      <c r="Y93">
        <v>53</v>
      </c>
      <c r="Z93" s="3">
        <f t="shared" si="89"/>
        <v>9.2350583725387698E-3</v>
      </c>
      <c r="AA93">
        <v>28</v>
      </c>
      <c r="AB93" s="3">
        <f t="shared" si="90"/>
        <v>9.8904980572235967E-3</v>
      </c>
      <c r="AC93">
        <v>43</v>
      </c>
      <c r="AD93" s="3">
        <f t="shared" si="91"/>
        <v>7.0898598516075844E-3</v>
      </c>
      <c r="AE93">
        <v>0</v>
      </c>
      <c r="AF93" s="3">
        <f t="shared" si="92"/>
        <v>0</v>
      </c>
      <c r="AG93">
        <v>92</v>
      </c>
      <c r="AH93" s="3">
        <f t="shared" si="93"/>
        <v>4.5508508112386227E-3</v>
      </c>
      <c r="AI93">
        <v>464</v>
      </c>
      <c r="AJ93" s="3">
        <f t="shared" si="94"/>
        <v>1.1299985387949929E-2</v>
      </c>
      <c r="AK93">
        <v>24</v>
      </c>
      <c r="AL93" s="3">
        <f t="shared" si="95"/>
        <v>4.0187541862022769E-3</v>
      </c>
      <c r="AM93">
        <v>12</v>
      </c>
      <c r="AN93" s="3">
        <f t="shared" si="96"/>
        <v>1.6185594820609657E-3</v>
      </c>
      <c r="AO93">
        <v>21</v>
      </c>
      <c r="AP93" s="3">
        <f t="shared" si="97"/>
        <v>5.5365146322172423E-3</v>
      </c>
      <c r="AQ93">
        <v>80</v>
      </c>
      <c r="AR93" s="3">
        <f t="shared" si="98"/>
        <v>8.2730093071354704E-2</v>
      </c>
      <c r="AS93">
        <v>0</v>
      </c>
      <c r="AT93" s="3">
        <f t="shared" si="99"/>
        <v>0</v>
      </c>
      <c r="AU93">
        <v>0</v>
      </c>
      <c r="AV93" s="3">
        <f t="shared" si="100"/>
        <v>0</v>
      </c>
      <c r="AW93">
        <v>0</v>
      </c>
      <c r="AX93" s="3">
        <f t="shared" si="101"/>
        <v>0</v>
      </c>
      <c r="AY93">
        <v>0</v>
      </c>
      <c r="AZ93" s="3">
        <f t="shared" si="102"/>
        <v>0</v>
      </c>
      <c r="BA93">
        <v>0</v>
      </c>
      <c r="BB93" s="3">
        <f t="shared" si="103"/>
        <v>0</v>
      </c>
      <c r="BC93">
        <v>69</v>
      </c>
      <c r="BD93" s="3">
        <f t="shared" si="104"/>
        <v>0.15753424657534246</v>
      </c>
      <c r="BE93">
        <v>0</v>
      </c>
      <c r="BF93" s="3">
        <f t="shared" si="105"/>
        <v>0</v>
      </c>
      <c r="BG93">
        <v>1540000</v>
      </c>
      <c r="BH93" s="3">
        <f t="shared" si="106"/>
        <v>0.152324431256182</v>
      </c>
      <c r="BI93">
        <v>220000</v>
      </c>
      <c r="BJ93" s="3">
        <f t="shared" si="107"/>
        <v>1.1578947368421053E-2</v>
      </c>
      <c r="BK93">
        <v>25000000000</v>
      </c>
      <c r="BL93" s="3">
        <f t="shared" si="108"/>
        <v>8.3333333333333329E-2</v>
      </c>
      <c r="BM93">
        <v>1691000</v>
      </c>
      <c r="BN93" s="3">
        <f t="shared" si="109"/>
        <v>2.0982752202506516E-3</v>
      </c>
      <c r="BO93">
        <v>28</v>
      </c>
      <c r="BP93" s="3">
        <f t="shared" si="110"/>
        <v>4.3661312958053955E-3</v>
      </c>
      <c r="BQ93">
        <v>3</v>
      </c>
      <c r="BR93" s="3">
        <f t="shared" si="111"/>
        <v>0.125</v>
      </c>
      <c r="BS93">
        <v>7790</v>
      </c>
      <c r="BT93" s="3">
        <f t="shared" si="112"/>
        <v>1.1827024827642748E-3</v>
      </c>
      <c r="BU93">
        <v>0</v>
      </c>
      <c r="BV93" s="3">
        <f t="shared" si="113"/>
        <v>0</v>
      </c>
      <c r="BW93">
        <v>6</v>
      </c>
      <c r="BX93" s="3">
        <f t="shared" si="114"/>
        <v>4.4401687264116038E-4</v>
      </c>
      <c r="BY93">
        <v>1930</v>
      </c>
      <c r="BZ93" s="3">
        <f t="shared" si="115"/>
        <v>3.2834297380061246E-3</v>
      </c>
      <c r="CA93" s="1">
        <v>159200</v>
      </c>
      <c r="CB93">
        <v>36030</v>
      </c>
      <c r="CC93" s="3">
        <f t="shared" si="116"/>
        <v>1.1652652005174645E-2</v>
      </c>
      <c r="CD93">
        <v>334500</v>
      </c>
      <c r="CE93" s="3">
        <f t="shared" si="117"/>
        <v>1.5726375176304656E-2</v>
      </c>
      <c r="CF93" s="2">
        <v>11586</v>
      </c>
      <c r="CG93" s="3">
        <f t="shared" si="118"/>
        <v>0.99932238647692551</v>
      </c>
      <c r="CH93" s="2">
        <v>563</v>
      </c>
      <c r="CI93" s="3">
        <f t="shared" si="119"/>
        <v>0.99721397466349959</v>
      </c>
      <c r="CJ93" s="2">
        <v>87</v>
      </c>
      <c r="CK93" s="3">
        <f t="shared" si="120"/>
        <v>0.99612592955425927</v>
      </c>
      <c r="CL93" s="1" t="s">
        <v>77</v>
      </c>
    </row>
    <row r="94" spans="1:90" x14ac:dyDescent="0.3">
      <c r="A94" t="s">
        <v>230</v>
      </c>
      <c r="B94" t="s">
        <v>231</v>
      </c>
      <c r="C94">
        <v>92</v>
      </c>
      <c r="D94" s="9">
        <f t="shared" si="127"/>
        <v>107</v>
      </c>
      <c r="E94" s="9">
        <f t="shared" si="85"/>
        <v>3.117670183907876</v>
      </c>
      <c r="F94" s="1">
        <v>38319241</v>
      </c>
      <c r="G94">
        <v>14300000</v>
      </c>
      <c r="H94" s="3">
        <f t="shared" si="126"/>
        <v>1.9066666666666666E-2</v>
      </c>
      <c r="I94">
        <v>8515000</v>
      </c>
      <c r="J94" s="3">
        <f t="shared" si="121"/>
        <v>1.3756058158319871E-2</v>
      </c>
      <c r="K94">
        <v>845000</v>
      </c>
      <c r="L94" s="3">
        <f t="shared" si="122"/>
        <v>3.6899563318777293E-2</v>
      </c>
      <c r="M94">
        <v>56500</v>
      </c>
      <c r="N94" s="3">
        <f t="shared" si="123"/>
        <v>8.7664856477889831E-3</v>
      </c>
      <c r="O94">
        <v>45000</v>
      </c>
      <c r="P94" s="3">
        <f t="shared" si="124"/>
        <v>1.9911504424778761E-2</v>
      </c>
      <c r="Q94">
        <v>11500</v>
      </c>
      <c r="R94" s="3">
        <f t="shared" si="86"/>
        <v>2.0909090909090908E-3</v>
      </c>
      <c r="S94">
        <v>43</v>
      </c>
      <c r="T94" s="3">
        <f t="shared" si="87"/>
        <v>3.1245458508937654E-3</v>
      </c>
      <c r="U94">
        <v>10</v>
      </c>
      <c r="V94" s="3">
        <f t="shared" si="125"/>
        <v>4.3554006968641113E-3</v>
      </c>
      <c r="W94">
        <v>13</v>
      </c>
      <c r="X94" s="3">
        <f t="shared" si="88"/>
        <v>4.66786355475763E-3</v>
      </c>
      <c r="Y94">
        <v>19</v>
      </c>
      <c r="Z94" s="3">
        <f t="shared" si="89"/>
        <v>3.3106813033629552E-3</v>
      </c>
      <c r="AA94">
        <v>10</v>
      </c>
      <c r="AB94" s="3">
        <f t="shared" si="90"/>
        <v>3.5323207347227126E-3</v>
      </c>
      <c r="AC94">
        <v>21</v>
      </c>
      <c r="AD94" s="3">
        <f t="shared" si="91"/>
        <v>3.4624896949711458E-3</v>
      </c>
      <c r="AE94">
        <v>5</v>
      </c>
      <c r="AF94" s="3">
        <f t="shared" si="92"/>
        <v>5.279831045406547E-3</v>
      </c>
      <c r="AG94">
        <v>240</v>
      </c>
      <c r="AH94" s="3">
        <f t="shared" si="93"/>
        <v>1.187178472497032E-2</v>
      </c>
      <c r="AI94">
        <v>1060</v>
      </c>
      <c r="AJ94" s="3">
        <f t="shared" si="94"/>
        <v>2.5814621791437339E-2</v>
      </c>
      <c r="AK94">
        <v>0</v>
      </c>
      <c r="AL94" s="3">
        <f t="shared" si="95"/>
        <v>0</v>
      </c>
      <c r="AM94">
        <v>27</v>
      </c>
      <c r="AN94" s="3">
        <f t="shared" si="96"/>
        <v>3.6417588346371729E-3</v>
      </c>
      <c r="AO94">
        <v>26</v>
      </c>
      <c r="AP94" s="3">
        <f t="shared" si="97"/>
        <v>6.8547324017927758E-3</v>
      </c>
      <c r="AQ94">
        <v>8</v>
      </c>
      <c r="AR94" s="3">
        <f t="shared" si="98"/>
        <v>8.2730093071354711E-3</v>
      </c>
      <c r="AS94">
        <v>0</v>
      </c>
      <c r="AT94" s="3">
        <f t="shared" si="99"/>
        <v>0</v>
      </c>
      <c r="AU94">
        <v>0</v>
      </c>
      <c r="AV94" s="3">
        <f t="shared" si="100"/>
        <v>0</v>
      </c>
      <c r="AW94">
        <v>0</v>
      </c>
      <c r="AX94" s="3">
        <f t="shared" si="101"/>
        <v>0</v>
      </c>
      <c r="AY94">
        <v>0</v>
      </c>
      <c r="AZ94" s="3">
        <f t="shared" si="102"/>
        <v>0</v>
      </c>
      <c r="BA94">
        <v>0</v>
      </c>
      <c r="BB94" s="3">
        <f t="shared" si="103"/>
        <v>0</v>
      </c>
      <c r="BC94">
        <v>8</v>
      </c>
      <c r="BD94" s="3">
        <f t="shared" si="104"/>
        <v>1.8264840182648401E-2</v>
      </c>
      <c r="BE94">
        <v>0</v>
      </c>
      <c r="BF94" s="3">
        <f t="shared" si="105"/>
        <v>0</v>
      </c>
      <c r="BG94">
        <v>0</v>
      </c>
      <c r="BH94" s="3">
        <f t="shared" si="106"/>
        <v>0</v>
      </c>
      <c r="BI94">
        <v>18180</v>
      </c>
      <c r="BJ94" s="3">
        <f t="shared" si="107"/>
        <v>9.5684210526315785E-4</v>
      </c>
      <c r="BK94">
        <v>2500000000</v>
      </c>
      <c r="BL94" s="3">
        <f t="shared" si="108"/>
        <v>8.3333333333333332E-3</v>
      </c>
      <c r="BM94">
        <v>19030000</v>
      </c>
      <c r="BN94" s="3">
        <f t="shared" si="109"/>
        <v>2.3613351532448194E-2</v>
      </c>
      <c r="BO94">
        <v>0</v>
      </c>
      <c r="BP94" s="3">
        <f t="shared" si="110"/>
        <v>0</v>
      </c>
      <c r="BQ94">
        <v>0</v>
      </c>
      <c r="BR94" s="3">
        <f t="shared" si="111"/>
        <v>0</v>
      </c>
      <c r="BS94">
        <v>20000</v>
      </c>
      <c r="BT94" s="3">
        <f t="shared" si="112"/>
        <v>3.0364633703832472E-3</v>
      </c>
      <c r="BU94">
        <v>1244</v>
      </c>
      <c r="BV94" s="3">
        <f t="shared" si="113"/>
        <v>5.5340047688529842E-3</v>
      </c>
      <c r="BW94">
        <v>47</v>
      </c>
      <c r="BX94" s="3">
        <f t="shared" si="114"/>
        <v>3.4781321690224229E-3</v>
      </c>
      <c r="BY94">
        <v>280</v>
      </c>
      <c r="BZ94" s="3">
        <f t="shared" si="115"/>
        <v>4.7635250085062945E-4</v>
      </c>
      <c r="CA94" s="1">
        <v>6241</v>
      </c>
      <c r="CB94">
        <v>2851</v>
      </c>
      <c r="CC94" s="3">
        <f t="shared" si="116"/>
        <v>9.2205692108667534E-4</v>
      </c>
      <c r="CD94">
        <v>84930</v>
      </c>
      <c r="CE94" s="3">
        <f t="shared" si="117"/>
        <v>3.9929478138222849E-3</v>
      </c>
      <c r="CF94" s="2">
        <v>241038</v>
      </c>
      <c r="CG94" s="3">
        <f t="shared" si="118"/>
        <v>0.98590276123124232</v>
      </c>
      <c r="CH94" s="2">
        <v>0</v>
      </c>
      <c r="CI94" s="3">
        <f t="shared" si="119"/>
        <v>1</v>
      </c>
      <c r="CJ94" s="2">
        <v>2729</v>
      </c>
      <c r="CK94" s="3">
        <f t="shared" si="120"/>
        <v>0.87847887073072983</v>
      </c>
      <c r="CL94" s="1" t="s">
        <v>77</v>
      </c>
    </row>
    <row r="95" spans="1:90" x14ac:dyDescent="0.3">
      <c r="A95" t="s">
        <v>232</v>
      </c>
      <c r="B95" t="s">
        <v>233</v>
      </c>
      <c r="C95">
        <v>93</v>
      </c>
      <c r="D95" s="9">
        <f t="shared" si="127"/>
        <v>100</v>
      </c>
      <c r="E95" s="9">
        <f t="shared" si="85"/>
        <v>3.1634401425025001</v>
      </c>
      <c r="F95" s="1">
        <v>3051250</v>
      </c>
      <c r="G95">
        <v>1700000</v>
      </c>
      <c r="H95" s="3">
        <f t="shared" si="126"/>
        <v>2.2666666666666668E-3</v>
      </c>
      <c r="I95">
        <v>1400000</v>
      </c>
      <c r="J95" s="3">
        <f t="shared" si="121"/>
        <v>2.2617124394184169E-3</v>
      </c>
      <c r="K95">
        <v>45000</v>
      </c>
      <c r="L95" s="3">
        <f t="shared" si="122"/>
        <v>1.9650655021834062E-3</v>
      </c>
      <c r="M95">
        <v>215700</v>
      </c>
      <c r="N95" s="3">
        <f t="shared" si="123"/>
        <v>3.3467804499612105E-2</v>
      </c>
      <c r="O95">
        <v>44800</v>
      </c>
      <c r="P95" s="3">
        <f t="shared" si="124"/>
        <v>1.9823008849557521E-2</v>
      </c>
      <c r="Q95">
        <v>170900</v>
      </c>
      <c r="R95" s="3">
        <f t="shared" si="86"/>
        <v>3.1072727272727273E-2</v>
      </c>
      <c r="S95">
        <v>64</v>
      </c>
      <c r="T95" s="3">
        <f t="shared" si="87"/>
        <v>4.6504868478418832E-3</v>
      </c>
      <c r="U95">
        <v>0</v>
      </c>
      <c r="V95" s="3">
        <f t="shared" si="125"/>
        <v>0</v>
      </c>
      <c r="W95">
        <v>11</v>
      </c>
      <c r="X95" s="3">
        <f t="shared" si="88"/>
        <v>3.9497307001795335E-3</v>
      </c>
      <c r="Y95">
        <v>18</v>
      </c>
      <c r="Z95" s="3">
        <f t="shared" si="89"/>
        <v>3.1364349189754314E-3</v>
      </c>
      <c r="AA95">
        <v>12</v>
      </c>
      <c r="AB95" s="3">
        <f t="shared" si="90"/>
        <v>4.2387848816672555E-3</v>
      </c>
      <c r="AC95">
        <v>42</v>
      </c>
      <c r="AD95" s="3">
        <f t="shared" si="91"/>
        <v>6.9249793899422915E-3</v>
      </c>
      <c r="AE95">
        <v>15</v>
      </c>
      <c r="AF95" s="3">
        <f t="shared" si="92"/>
        <v>1.5839493136219639E-2</v>
      </c>
      <c r="AG95">
        <v>229</v>
      </c>
      <c r="AH95" s="3">
        <f t="shared" si="93"/>
        <v>1.132766125840918E-2</v>
      </c>
      <c r="AI95">
        <v>636</v>
      </c>
      <c r="AJ95" s="3">
        <f t="shared" si="94"/>
        <v>1.5488773074862404E-2</v>
      </c>
      <c r="AK95">
        <v>38</v>
      </c>
      <c r="AL95" s="3">
        <f t="shared" si="95"/>
        <v>6.3630274614869392E-3</v>
      </c>
      <c r="AM95">
        <v>150</v>
      </c>
      <c r="AN95" s="3">
        <f t="shared" si="96"/>
        <v>2.0231993525762073E-2</v>
      </c>
      <c r="AO95">
        <v>150</v>
      </c>
      <c r="AP95" s="3">
        <f t="shared" si="97"/>
        <v>3.9546533087266016E-2</v>
      </c>
      <c r="AQ95">
        <v>0</v>
      </c>
      <c r="AR95" s="3">
        <f t="shared" si="98"/>
        <v>0</v>
      </c>
      <c r="AS95">
        <v>0</v>
      </c>
      <c r="AT95" s="3">
        <f t="shared" si="99"/>
        <v>0</v>
      </c>
      <c r="AU95">
        <v>0</v>
      </c>
      <c r="AV95" s="3">
        <f t="shared" si="100"/>
        <v>0</v>
      </c>
      <c r="AW95">
        <v>0</v>
      </c>
      <c r="AX95" s="3">
        <f t="shared" si="101"/>
        <v>0</v>
      </c>
      <c r="AY95">
        <v>0</v>
      </c>
      <c r="AZ95" s="3">
        <f t="shared" si="102"/>
        <v>0</v>
      </c>
      <c r="BA95">
        <v>0</v>
      </c>
      <c r="BB95" s="3">
        <f t="shared" si="103"/>
        <v>0</v>
      </c>
      <c r="BC95">
        <v>0</v>
      </c>
      <c r="BD95" s="3">
        <f t="shared" si="104"/>
        <v>0</v>
      </c>
      <c r="BE95">
        <v>0</v>
      </c>
      <c r="BF95" s="3">
        <f t="shared" si="105"/>
        <v>0</v>
      </c>
      <c r="BG95">
        <v>0</v>
      </c>
      <c r="BH95" s="3">
        <f t="shared" si="106"/>
        <v>0</v>
      </c>
      <c r="BI95">
        <v>50000</v>
      </c>
      <c r="BJ95" s="3">
        <f t="shared" si="107"/>
        <v>2.631578947368421E-3</v>
      </c>
      <c r="BK95">
        <v>0</v>
      </c>
      <c r="BL95" s="3">
        <f t="shared" si="108"/>
        <v>0</v>
      </c>
      <c r="BM95">
        <v>1559000</v>
      </c>
      <c r="BN95" s="3">
        <f t="shared" si="109"/>
        <v>1.9344831864995657E-3</v>
      </c>
      <c r="BO95">
        <v>0</v>
      </c>
      <c r="BP95" s="3">
        <f t="shared" si="110"/>
        <v>0</v>
      </c>
      <c r="BQ95">
        <v>0</v>
      </c>
      <c r="BR95" s="3">
        <f t="shared" si="111"/>
        <v>0</v>
      </c>
      <c r="BS95">
        <v>7705</v>
      </c>
      <c r="BT95" s="3">
        <f t="shared" si="112"/>
        <v>1.1697975134401461E-3</v>
      </c>
      <c r="BU95">
        <v>869</v>
      </c>
      <c r="BV95" s="3">
        <f t="shared" si="113"/>
        <v>3.865795935798427E-3</v>
      </c>
      <c r="BW95">
        <v>11</v>
      </c>
      <c r="BX95" s="3">
        <f t="shared" si="114"/>
        <v>8.1403093317546072E-4</v>
      </c>
      <c r="BY95">
        <v>225</v>
      </c>
      <c r="BZ95" s="3">
        <f t="shared" si="115"/>
        <v>3.8278325961211299E-4</v>
      </c>
      <c r="CA95" s="1">
        <v>8365</v>
      </c>
      <c r="CB95">
        <v>1512</v>
      </c>
      <c r="CC95" s="3">
        <f t="shared" si="116"/>
        <v>4.8900388098318235E-4</v>
      </c>
      <c r="CD95">
        <v>26560</v>
      </c>
      <c r="CE95" s="3">
        <f t="shared" si="117"/>
        <v>1.2487070992007522E-3</v>
      </c>
      <c r="CF95" s="2">
        <v>29743</v>
      </c>
      <c r="CG95" s="3">
        <f t="shared" si="118"/>
        <v>0.99826046443839078</v>
      </c>
      <c r="CH95" s="2">
        <v>0</v>
      </c>
      <c r="CI95" s="3">
        <f t="shared" si="119"/>
        <v>1</v>
      </c>
      <c r="CJ95" s="2">
        <v>1570</v>
      </c>
      <c r="CK95" s="3">
        <f t="shared" si="120"/>
        <v>0.93008861379525309</v>
      </c>
      <c r="CL95" s="1" t="s">
        <v>77</v>
      </c>
    </row>
    <row r="96" spans="1:90" x14ac:dyDescent="0.3">
      <c r="A96" t="s">
        <v>234</v>
      </c>
      <c r="B96" t="s">
        <v>235</v>
      </c>
      <c r="C96">
        <v>94</v>
      </c>
      <c r="D96" s="9">
        <f t="shared" si="127"/>
        <v>84</v>
      </c>
      <c r="E96" s="9">
        <f t="shared" si="85"/>
        <v>3.303131474290415</v>
      </c>
      <c r="F96" s="1">
        <v>1378904</v>
      </c>
      <c r="G96">
        <v>800000</v>
      </c>
      <c r="H96" s="3">
        <f t="shared" si="126"/>
        <v>1.0666666666666667E-3</v>
      </c>
      <c r="I96">
        <v>680000</v>
      </c>
      <c r="J96" s="3">
        <f t="shared" si="121"/>
        <v>1.0985460420032309E-3</v>
      </c>
      <c r="K96">
        <v>17120</v>
      </c>
      <c r="L96" s="3">
        <f t="shared" si="122"/>
        <v>7.4759825327510914E-4</v>
      </c>
      <c r="M96">
        <v>47405</v>
      </c>
      <c r="N96" s="3">
        <f t="shared" si="123"/>
        <v>7.355314197051978E-3</v>
      </c>
      <c r="O96">
        <v>11600</v>
      </c>
      <c r="P96" s="3">
        <f t="shared" si="124"/>
        <v>5.1327433628318587E-3</v>
      </c>
      <c r="Q96">
        <v>35805</v>
      </c>
      <c r="R96" s="3">
        <f t="shared" si="86"/>
        <v>6.5100000000000002E-3</v>
      </c>
      <c r="S96">
        <v>102</v>
      </c>
      <c r="T96" s="3">
        <f t="shared" si="87"/>
        <v>7.4117134137480015E-3</v>
      </c>
      <c r="U96">
        <v>25</v>
      </c>
      <c r="V96" s="3">
        <f t="shared" si="125"/>
        <v>1.0888501742160279E-2</v>
      </c>
      <c r="W96">
        <v>25</v>
      </c>
      <c r="X96" s="3">
        <f t="shared" si="88"/>
        <v>8.9766606822262122E-3</v>
      </c>
      <c r="Y96">
        <v>28</v>
      </c>
      <c r="Z96" s="3">
        <f t="shared" si="89"/>
        <v>4.8788987628506711E-3</v>
      </c>
      <c r="AA96">
        <v>29</v>
      </c>
      <c r="AB96" s="3">
        <f t="shared" si="90"/>
        <v>1.0243730130695867E-2</v>
      </c>
      <c r="AC96">
        <v>62</v>
      </c>
      <c r="AD96" s="3">
        <f t="shared" si="91"/>
        <v>1.0222588623248145E-2</v>
      </c>
      <c r="AE96">
        <v>22</v>
      </c>
      <c r="AF96" s="3">
        <f t="shared" si="92"/>
        <v>2.3231256599788808E-2</v>
      </c>
      <c r="AG96">
        <v>180</v>
      </c>
      <c r="AH96" s="3">
        <f t="shared" si="93"/>
        <v>8.9038385437277406E-3</v>
      </c>
      <c r="AI96">
        <v>277</v>
      </c>
      <c r="AJ96" s="3">
        <f t="shared" si="94"/>
        <v>6.7458964492718328E-3</v>
      </c>
      <c r="AK96">
        <v>13</v>
      </c>
      <c r="AL96" s="3">
        <f t="shared" si="95"/>
        <v>2.1768251841929004E-3</v>
      </c>
      <c r="AM96">
        <v>26</v>
      </c>
      <c r="AN96" s="3">
        <f t="shared" si="96"/>
        <v>3.5068788777987592E-3</v>
      </c>
      <c r="AO96">
        <v>9</v>
      </c>
      <c r="AP96" s="3">
        <f t="shared" si="97"/>
        <v>2.3727919852359609E-3</v>
      </c>
      <c r="AQ96">
        <v>39</v>
      </c>
      <c r="AR96" s="3">
        <f t="shared" si="98"/>
        <v>4.0330920372285417E-2</v>
      </c>
      <c r="AS96">
        <v>0</v>
      </c>
      <c r="AT96" s="3">
        <f t="shared" si="99"/>
        <v>0</v>
      </c>
      <c r="AU96">
        <v>1</v>
      </c>
      <c r="AV96" s="3">
        <f t="shared" si="100"/>
        <v>1.9607843137254902E-2</v>
      </c>
      <c r="AW96">
        <v>0</v>
      </c>
      <c r="AX96" s="3">
        <f t="shared" si="101"/>
        <v>0</v>
      </c>
      <c r="AY96">
        <v>0</v>
      </c>
      <c r="AZ96" s="3">
        <f t="shared" si="102"/>
        <v>0</v>
      </c>
      <c r="BA96">
        <v>0</v>
      </c>
      <c r="BB96" s="3">
        <f t="shared" si="103"/>
        <v>0</v>
      </c>
      <c r="BC96">
        <v>10</v>
      </c>
      <c r="BD96" s="3">
        <f t="shared" si="104"/>
        <v>2.2831050228310501E-2</v>
      </c>
      <c r="BE96">
        <v>0</v>
      </c>
      <c r="BF96" s="3">
        <f t="shared" si="105"/>
        <v>0</v>
      </c>
      <c r="BG96">
        <v>49500</v>
      </c>
      <c r="BH96" s="3">
        <f t="shared" si="106"/>
        <v>4.8961424332344215E-3</v>
      </c>
      <c r="BI96">
        <v>49000</v>
      </c>
      <c r="BJ96" s="3">
        <f t="shared" si="107"/>
        <v>2.5789473684210526E-3</v>
      </c>
      <c r="BK96">
        <v>100000000</v>
      </c>
      <c r="BL96" s="3">
        <f t="shared" si="108"/>
        <v>3.3333333333333332E-4</v>
      </c>
      <c r="BM96">
        <v>809700</v>
      </c>
      <c r="BN96" s="3">
        <f t="shared" si="109"/>
        <v>1.0047152252140464E-3</v>
      </c>
      <c r="BO96">
        <v>8</v>
      </c>
      <c r="BP96" s="3">
        <f t="shared" si="110"/>
        <v>1.2474660845158273E-3</v>
      </c>
      <c r="BQ96">
        <v>2</v>
      </c>
      <c r="BR96" s="3">
        <f t="shared" si="111"/>
        <v>8.3333333333333329E-2</v>
      </c>
      <c r="BS96">
        <v>4122</v>
      </c>
      <c r="BT96" s="3">
        <f t="shared" si="112"/>
        <v>6.2581510063598723E-4</v>
      </c>
      <c r="BU96">
        <v>0</v>
      </c>
      <c r="BV96" s="3">
        <f t="shared" si="113"/>
        <v>0</v>
      </c>
      <c r="BW96">
        <v>4</v>
      </c>
      <c r="BX96" s="3">
        <f t="shared" si="114"/>
        <v>2.9601124842744024E-4</v>
      </c>
      <c r="BY96">
        <v>730</v>
      </c>
      <c r="BZ96" s="3">
        <f t="shared" si="115"/>
        <v>1.2419190200748554E-3</v>
      </c>
      <c r="CA96" s="1">
        <v>21160</v>
      </c>
      <c r="CB96">
        <v>3260</v>
      </c>
      <c r="CC96" s="3">
        <f t="shared" si="116"/>
        <v>1.054333764553687E-3</v>
      </c>
      <c r="CD96">
        <v>66370</v>
      </c>
      <c r="CE96" s="3">
        <f t="shared" si="117"/>
        <v>3.1203573107663374E-3</v>
      </c>
      <c r="CF96" s="2">
        <v>760</v>
      </c>
      <c r="CG96" s="3">
        <f t="shared" si="118"/>
        <v>0.99995555098588496</v>
      </c>
      <c r="CH96" s="2">
        <v>161</v>
      </c>
      <c r="CI96" s="3">
        <f t="shared" si="119"/>
        <v>0.99920328582739504</v>
      </c>
      <c r="CJ96" s="2">
        <v>0</v>
      </c>
      <c r="CK96" s="3">
        <f t="shared" si="120"/>
        <v>1</v>
      </c>
      <c r="CL96" s="1" t="s">
        <v>77</v>
      </c>
    </row>
    <row r="97" spans="1:90" x14ac:dyDescent="0.3">
      <c r="A97" t="s">
        <v>236</v>
      </c>
      <c r="B97" t="s">
        <v>237</v>
      </c>
      <c r="C97">
        <v>95</v>
      </c>
      <c r="D97" s="9">
        <f t="shared" si="127"/>
        <v>96</v>
      </c>
      <c r="E97" s="9">
        <f t="shared" si="85"/>
        <v>3.2006180153038422</v>
      </c>
      <c r="F97" s="1">
        <v>2854235</v>
      </c>
      <c r="G97">
        <v>1800000</v>
      </c>
      <c r="H97" s="3">
        <f t="shared" si="126"/>
        <v>2.3999999999999998E-3</v>
      </c>
      <c r="I97">
        <v>1400000</v>
      </c>
      <c r="J97" s="3">
        <f t="shared" si="121"/>
        <v>2.2617124394184169E-3</v>
      </c>
      <c r="K97">
        <v>40000</v>
      </c>
      <c r="L97" s="3">
        <f t="shared" si="122"/>
        <v>1.7467248908296944E-3</v>
      </c>
      <c r="M97">
        <v>23015</v>
      </c>
      <c r="N97" s="3">
        <f t="shared" si="123"/>
        <v>3.5709852598913888E-3</v>
      </c>
      <c r="O97">
        <v>16015</v>
      </c>
      <c r="P97" s="3">
        <f t="shared" si="124"/>
        <v>7.0862831858407079E-3</v>
      </c>
      <c r="Q97">
        <v>7000</v>
      </c>
      <c r="R97" s="3">
        <f t="shared" si="86"/>
        <v>1.2727272727272728E-3</v>
      </c>
      <c r="S97">
        <v>10</v>
      </c>
      <c r="T97" s="3">
        <f t="shared" si="87"/>
        <v>7.2663856997529433E-4</v>
      </c>
      <c r="U97">
        <v>0</v>
      </c>
      <c r="V97" s="3">
        <f t="shared" si="125"/>
        <v>0</v>
      </c>
      <c r="W97">
        <v>1</v>
      </c>
      <c r="X97" s="3">
        <f t="shared" si="88"/>
        <v>3.590664272890485E-4</v>
      </c>
      <c r="Y97">
        <v>8</v>
      </c>
      <c r="Z97" s="3">
        <f t="shared" si="89"/>
        <v>1.3939710751001916E-3</v>
      </c>
      <c r="AA97">
        <v>0</v>
      </c>
      <c r="AB97" s="3">
        <f t="shared" si="90"/>
        <v>0</v>
      </c>
      <c r="AC97">
        <v>5</v>
      </c>
      <c r="AD97" s="3">
        <f t="shared" si="91"/>
        <v>8.2440230832646333E-4</v>
      </c>
      <c r="AE97">
        <v>0</v>
      </c>
      <c r="AF97" s="3">
        <f t="shared" si="92"/>
        <v>0</v>
      </c>
      <c r="AG97">
        <v>0</v>
      </c>
      <c r="AH97" s="3">
        <f t="shared" si="93"/>
        <v>0</v>
      </c>
      <c r="AI97">
        <v>432</v>
      </c>
      <c r="AJ97" s="3">
        <f t="shared" si="94"/>
        <v>1.0520676050849935E-2</v>
      </c>
      <c r="AK97">
        <v>0</v>
      </c>
      <c r="AL97" s="3">
        <f t="shared" si="95"/>
        <v>0</v>
      </c>
      <c r="AM97">
        <v>54</v>
      </c>
      <c r="AN97" s="3">
        <f t="shared" si="96"/>
        <v>7.2835176692743458E-3</v>
      </c>
      <c r="AO97">
        <v>0</v>
      </c>
      <c r="AP97" s="3">
        <f t="shared" si="97"/>
        <v>0</v>
      </c>
      <c r="AQ97">
        <v>12</v>
      </c>
      <c r="AR97" s="3">
        <f t="shared" si="98"/>
        <v>1.2409513960703205E-2</v>
      </c>
      <c r="AS97">
        <v>0</v>
      </c>
      <c r="AT97" s="3">
        <f t="shared" si="99"/>
        <v>0</v>
      </c>
      <c r="AU97">
        <v>0</v>
      </c>
      <c r="AV97" s="3">
        <f t="shared" si="100"/>
        <v>0</v>
      </c>
      <c r="AW97">
        <v>0</v>
      </c>
      <c r="AX97" s="3">
        <f t="shared" si="101"/>
        <v>0</v>
      </c>
      <c r="AY97">
        <v>0</v>
      </c>
      <c r="AZ97" s="3">
        <f t="shared" si="102"/>
        <v>0</v>
      </c>
      <c r="BA97">
        <v>0</v>
      </c>
      <c r="BB97" s="3">
        <f t="shared" si="103"/>
        <v>0</v>
      </c>
      <c r="BC97">
        <v>4</v>
      </c>
      <c r="BD97" s="3">
        <f t="shared" si="104"/>
        <v>9.1324200913242004E-3</v>
      </c>
      <c r="BE97">
        <v>4</v>
      </c>
      <c r="BF97" s="3">
        <f t="shared" si="105"/>
        <v>8.6956521739130432E-2</v>
      </c>
      <c r="BG97">
        <v>2000</v>
      </c>
      <c r="BH97" s="3">
        <f t="shared" si="106"/>
        <v>1.9782393669634025E-4</v>
      </c>
      <c r="BI97">
        <v>75270</v>
      </c>
      <c r="BJ97" s="3">
        <f t="shared" si="107"/>
        <v>3.961578947368421E-3</v>
      </c>
      <c r="BK97">
        <v>12000000</v>
      </c>
      <c r="BL97" s="3">
        <f t="shared" si="108"/>
        <v>4.0000000000000003E-5</v>
      </c>
      <c r="BM97">
        <v>1459000</v>
      </c>
      <c r="BN97" s="3">
        <f t="shared" si="109"/>
        <v>1.8103983124457129E-3</v>
      </c>
      <c r="BO97">
        <v>38</v>
      </c>
      <c r="BP97" s="3">
        <f t="shared" si="110"/>
        <v>5.925463901450179E-3</v>
      </c>
      <c r="BQ97">
        <v>2</v>
      </c>
      <c r="BR97" s="3">
        <f t="shared" si="111"/>
        <v>8.3333333333333329E-2</v>
      </c>
      <c r="BS97">
        <v>84166</v>
      </c>
      <c r="BT97" s="3">
        <f t="shared" si="112"/>
        <v>1.2778348801583819E-2</v>
      </c>
      <c r="BU97">
        <v>1767</v>
      </c>
      <c r="BV97" s="3">
        <f t="shared" si="113"/>
        <v>7.8606000213530727E-3</v>
      </c>
      <c r="BW97">
        <v>61</v>
      </c>
      <c r="BX97" s="3">
        <f t="shared" si="114"/>
        <v>4.5141715385184633E-3</v>
      </c>
      <c r="BY97">
        <v>430</v>
      </c>
      <c r="BZ97" s="3">
        <f t="shared" si="115"/>
        <v>7.3154134059203813E-4</v>
      </c>
      <c r="CA97" s="1">
        <v>34480</v>
      </c>
      <c r="CB97">
        <v>1697</v>
      </c>
      <c r="CC97" s="3">
        <f t="shared" si="116"/>
        <v>5.4883570504527814E-4</v>
      </c>
      <c r="CD97">
        <v>85790</v>
      </c>
      <c r="CE97" s="3">
        <f t="shared" si="117"/>
        <v>4.0333803479078514E-3</v>
      </c>
      <c r="CF97" s="2">
        <v>65300</v>
      </c>
      <c r="CG97" s="3">
        <f t="shared" si="118"/>
        <v>0.99618089391880171</v>
      </c>
      <c r="CH97" s="2">
        <v>90</v>
      </c>
      <c r="CI97" s="3">
        <f t="shared" si="119"/>
        <v>0.99955463182897863</v>
      </c>
      <c r="CJ97" s="2">
        <v>1545</v>
      </c>
      <c r="CK97" s="3">
        <f t="shared" si="120"/>
        <v>0.93120185242908671</v>
      </c>
      <c r="CL97" s="1">
        <v>441</v>
      </c>
    </row>
    <row r="98" spans="1:90" x14ac:dyDescent="0.3">
      <c r="A98" t="s">
        <v>238</v>
      </c>
      <c r="B98" t="s">
        <v>239</v>
      </c>
      <c r="C98">
        <v>96</v>
      </c>
      <c r="D98" s="9">
        <f t="shared" si="127"/>
        <v>106</v>
      </c>
      <c r="E98" s="9">
        <f t="shared" si="85"/>
        <v>3.1313279109482886</v>
      </c>
      <c r="F98" s="1">
        <v>52482726</v>
      </c>
      <c r="G98">
        <v>10000000</v>
      </c>
      <c r="H98" s="3">
        <f t="shared" si="126"/>
        <v>1.3333333333333334E-2</v>
      </c>
      <c r="I98">
        <v>11750000</v>
      </c>
      <c r="J98" s="3">
        <f t="shared" si="121"/>
        <v>1.8982229402261713E-2</v>
      </c>
      <c r="K98">
        <v>1030000</v>
      </c>
      <c r="L98" s="3">
        <f t="shared" si="122"/>
        <v>4.4978165938864625E-2</v>
      </c>
      <c r="M98">
        <v>110000</v>
      </c>
      <c r="N98" s="3">
        <f t="shared" si="123"/>
        <v>1.7067494181536073E-2</v>
      </c>
      <c r="O98">
        <v>30000</v>
      </c>
      <c r="P98" s="3">
        <f t="shared" si="124"/>
        <v>1.3274336283185841E-2</v>
      </c>
      <c r="Q98">
        <v>80000</v>
      </c>
      <c r="R98" s="3">
        <f t="shared" si="86"/>
        <v>1.4545454545454545E-2</v>
      </c>
      <c r="S98">
        <v>30</v>
      </c>
      <c r="T98" s="3">
        <f t="shared" si="87"/>
        <v>2.179915709925883E-3</v>
      </c>
      <c r="U98">
        <v>14</v>
      </c>
      <c r="V98" s="3">
        <f t="shared" si="125"/>
        <v>6.0975609756097563E-3</v>
      </c>
      <c r="W98">
        <v>14</v>
      </c>
      <c r="X98" s="3">
        <f t="shared" si="88"/>
        <v>5.0269299820466786E-3</v>
      </c>
      <c r="Y98">
        <v>11</v>
      </c>
      <c r="Z98" s="3">
        <f t="shared" si="89"/>
        <v>1.9167102282627636E-3</v>
      </c>
      <c r="AA98">
        <v>8</v>
      </c>
      <c r="AB98" s="3">
        <f t="shared" si="90"/>
        <v>2.8258565877781702E-3</v>
      </c>
      <c r="AC98">
        <v>2</v>
      </c>
      <c r="AD98" s="3">
        <f t="shared" si="91"/>
        <v>3.2976092333058534E-4</v>
      </c>
      <c r="AE98">
        <v>0</v>
      </c>
      <c r="AF98" s="3">
        <f t="shared" si="92"/>
        <v>0</v>
      </c>
      <c r="AG98">
        <v>30</v>
      </c>
      <c r="AH98" s="3">
        <f t="shared" si="93"/>
        <v>1.48397309062129E-3</v>
      </c>
      <c r="AI98">
        <v>150</v>
      </c>
      <c r="AJ98" s="3">
        <f t="shared" si="94"/>
        <v>3.6530125176562271E-3</v>
      </c>
      <c r="AK98">
        <v>0</v>
      </c>
      <c r="AL98" s="3">
        <f t="shared" si="95"/>
        <v>0</v>
      </c>
      <c r="AM98">
        <v>12</v>
      </c>
      <c r="AN98" s="3">
        <f t="shared" si="96"/>
        <v>1.6185594820609657E-3</v>
      </c>
      <c r="AO98">
        <v>0</v>
      </c>
      <c r="AP98" s="3">
        <f t="shared" si="97"/>
        <v>0</v>
      </c>
      <c r="AQ98">
        <v>19</v>
      </c>
      <c r="AR98" s="3">
        <f t="shared" si="98"/>
        <v>1.9648397104446741E-2</v>
      </c>
      <c r="AS98">
        <v>0</v>
      </c>
      <c r="AT98" s="3">
        <f t="shared" si="99"/>
        <v>0</v>
      </c>
      <c r="AU98">
        <v>0</v>
      </c>
      <c r="AV98" s="3">
        <f t="shared" si="100"/>
        <v>0</v>
      </c>
      <c r="AW98">
        <v>0</v>
      </c>
      <c r="AX98" s="3">
        <f t="shared" si="101"/>
        <v>0</v>
      </c>
      <c r="AY98">
        <v>0</v>
      </c>
      <c r="AZ98" s="3">
        <f t="shared" si="102"/>
        <v>0</v>
      </c>
      <c r="BA98">
        <v>0</v>
      </c>
      <c r="BB98" s="3">
        <f t="shared" si="103"/>
        <v>0</v>
      </c>
      <c r="BC98">
        <v>12</v>
      </c>
      <c r="BD98" s="3">
        <f t="shared" si="104"/>
        <v>2.7397260273972601E-2</v>
      </c>
      <c r="BE98">
        <v>0</v>
      </c>
      <c r="BF98" s="3">
        <f t="shared" si="105"/>
        <v>0</v>
      </c>
      <c r="BG98">
        <v>0</v>
      </c>
      <c r="BH98" s="3">
        <f t="shared" si="106"/>
        <v>0</v>
      </c>
      <c r="BI98">
        <v>52520</v>
      </c>
      <c r="BJ98" s="3">
        <f t="shared" si="107"/>
        <v>2.7642105263157896E-3</v>
      </c>
      <c r="BK98">
        <v>0</v>
      </c>
      <c r="BL98" s="3">
        <f t="shared" si="108"/>
        <v>0</v>
      </c>
      <c r="BM98">
        <v>26960000</v>
      </c>
      <c r="BN98" s="3">
        <f t="shared" si="109"/>
        <v>3.3453282044918722E-2</v>
      </c>
      <c r="BO98">
        <v>94</v>
      </c>
      <c r="BP98" s="3">
        <f t="shared" si="110"/>
        <v>1.465772649306097E-2</v>
      </c>
      <c r="BQ98">
        <v>2</v>
      </c>
      <c r="BR98" s="3">
        <f t="shared" si="111"/>
        <v>8.3333333333333329E-2</v>
      </c>
      <c r="BS98">
        <v>86472</v>
      </c>
      <c r="BT98" s="3">
        <f t="shared" si="112"/>
        <v>1.3128453028189008E-2</v>
      </c>
      <c r="BU98">
        <v>3689</v>
      </c>
      <c r="BV98" s="3">
        <f t="shared" si="113"/>
        <v>1.6410726360368697E-2</v>
      </c>
      <c r="BW98">
        <v>166</v>
      </c>
      <c r="BX98" s="3">
        <f t="shared" si="114"/>
        <v>1.228446680973877E-2</v>
      </c>
      <c r="BY98">
        <v>220</v>
      </c>
      <c r="BZ98" s="3">
        <f t="shared" si="115"/>
        <v>3.7427696495406603E-4</v>
      </c>
      <c r="CA98" s="1">
        <v>15890</v>
      </c>
      <c r="CB98">
        <v>3771</v>
      </c>
      <c r="CC98" s="3">
        <f t="shared" si="116"/>
        <v>1.2195989650711514E-3</v>
      </c>
      <c r="CD98">
        <v>150600</v>
      </c>
      <c r="CE98" s="3">
        <f t="shared" si="117"/>
        <v>7.0803949224259519E-3</v>
      </c>
      <c r="CF98" s="2">
        <v>947300</v>
      </c>
      <c r="CG98" s="3">
        <f t="shared" si="118"/>
        <v>0.9445966433274251</v>
      </c>
      <c r="CH98" s="2">
        <v>1424</v>
      </c>
      <c r="CI98" s="3">
        <f t="shared" si="119"/>
        <v>0.99295328582739506</v>
      </c>
      <c r="CJ98" s="2">
        <v>4161</v>
      </c>
      <c r="CK98" s="3">
        <f t="shared" si="120"/>
        <v>0.81471256178474416</v>
      </c>
      <c r="CL98" s="1" t="s">
        <v>77</v>
      </c>
    </row>
    <row r="99" spans="1:90" x14ac:dyDescent="0.3">
      <c r="A99" t="s">
        <v>240</v>
      </c>
      <c r="B99" t="s">
        <v>241</v>
      </c>
      <c r="C99">
        <v>97</v>
      </c>
      <c r="D99" s="9">
        <f t="shared" si="127"/>
        <v>111</v>
      </c>
      <c r="E99" s="9">
        <f t="shared" si="85"/>
        <v>3.0919104350392592</v>
      </c>
      <c r="F99" s="1">
        <v>29033914</v>
      </c>
      <c r="G99">
        <v>14600000</v>
      </c>
      <c r="H99" s="3">
        <f t="shared" si="126"/>
        <v>1.9466666666666667E-2</v>
      </c>
      <c r="I99">
        <v>11210000</v>
      </c>
      <c r="J99" s="3">
        <f t="shared" si="121"/>
        <v>1.8109854604200323E-2</v>
      </c>
      <c r="K99">
        <v>750000</v>
      </c>
      <c r="L99" s="3">
        <f t="shared" si="122"/>
        <v>3.2751091703056769E-2</v>
      </c>
      <c r="M99">
        <v>157000</v>
      </c>
      <c r="N99" s="3">
        <f t="shared" si="123"/>
        <v>2.4359968968192397E-2</v>
      </c>
      <c r="O99">
        <v>95000</v>
      </c>
      <c r="P99" s="3">
        <f t="shared" si="124"/>
        <v>4.2035398230088498E-2</v>
      </c>
      <c r="Q99">
        <v>62000</v>
      </c>
      <c r="R99" s="3">
        <f t="shared" si="86"/>
        <v>1.1272727272727273E-2</v>
      </c>
      <c r="S99">
        <v>22</v>
      </c>
      <c r="T99" s="3">
        <f t="shared" si="87"/>
        <v>1.5986048539456475E-3</v>
      </c>
      <c r="U99">
        <v>0</v>
      </c>
      <c r="V99" s="3">
        <f t="shared" si="125"/>
        <v>0</v>
      </c>
      <c r="W99">
        <v>0</v>
      </c>
      <c r="X99" s="3">
        <f t="shared" si="88"/>
        <v>0</v>
      </c>
      <c r="Y99">
        <v>22</v>
      </c>
      <c r="Z99" s="3">
        <f t="shared" si="89"/>
        <v>3.8334204565255272E-3</v>
      </c>
      <c r="AA99">
        <v>0</v>
      </c>
      <c r="AB99" s="3">
        <f t="shared" si="90"/>
        <v>0</v>
      </c>
      <c r="AC99">
        <v>18</v>
      </c>
      <c r="AD99" s="3">
        <f t="shared" si="91"/>
        <v>2.967848309975268E-3</v>
      </c>
      <c r="AE99">
        <v>0</v>
      </c>
      <c r="AF99" s="3">
        <f t="shared" si="92"/>
        <v>0</v>
      </c>
      <c r="AG99">
        <v>0</v>
      </c>
      <c r="AH99" s="3">
        <f t="shared" si="93"/>
        <v>0</v>
      </c>
      <c r="AI99">
        <v>1480</v>
      </c>
      <c r="AJ99" s="3">
        <f t="shared" si="94"/>
        <v>3.6043056840874776E-2</v>
      </c>
      <c r="AK99">
        <v>0</v>
      </c>
      <c r="AL99" s="3">
        <f t="shared" si="95"/>
        <v>0</v>
      </c>
      <c r="AM99">
        <v>120</v>
      </c>
      <c r="AN99" s="3">
        <f t="shared" si="96"/>
        <v>1.6185594820609658E-2</v>
      </c>
      <c r="AO99">
        <v>0</v>
      </c>
      <c r="AP99" s="3">
        <f t="shared" si="97"/>
        <v>0</v>
      </c>
      <c r="AQ99">
        <v>0</v>
      </c>
      <c r="AR99" s="3">
        <f t="shared" si="98"/>
        <v>0</v>
      </c>
      <c r="AS99">
        <v>0</v>
      </c>
      <c r="AT99" s="3">
        <f t="shared" si="99"/>
        <v>0</v>
      </c>
      <c r="AU99">
        <v>0</v>
      </c>
      <c r="AV99" s="3">
        <f t="shared" si="100"/>
        <v>0</v>
      </c>
      <c r="AW99">
        <v>0</v>
      </c>
      <c r="AX99" s="3">
        <f t="shared" si="101"/>
        <v>0</v>
      </c>
      <c r="AY99">
        <v>0</v>
      </c>
      <c r="AZ99" s="3">
        <f t="shared" si="102"/>
        <v>0</v>
      </c>
      <c r="BA99">
        <v>0</v>
      </c>
      <c r="BB99" s="3">
        <f t="shared" si="103"/>
        <v>0</v>
      </c>
      <c r="BC99">
        <v>0</v>
      </c>
      <c r="BD99" s="3">
        <f t="shared" si="104"/>
        <v>0</v>
      </c>
      <c r="BE99">
        <v>0</v>
      </c>
      <c r="BF99" s="3">
        <f t="shared" si="105"/>
        <v>0</v>
      </c>
      <c r="BG99">
        <v>0</v>
      </c>
      <c r="BH99" s="3">
        <f t="shared" si="106"/>
        <v>0</v>
      </c>
      <c r="BI99">
        <v>19250</v>
      </c>
      <c r="BJ99" s="3">
        <f t="shared" si="107"/>
        <v>1.0131578947368421E-3</v>
      </c>
      <c r="BK99">
        <v>0</v>
      </c>
      <c r="BL99" s="3">
        <f t="shared" si="108"/>
        <v>0</v>
      </c>
      <c r="BM99">
        <v>15200000</v>
      </c>
      <c r="BN99" s="3">
        <f t="shared" si="109"/>
        <v>1.8860900856185633E-2</v>
      </c>
      <c r="BO99">
        <v>0</v>
      </c>
      <c r="BP99" s="3">
        <f t="shared" si="110"/>
        <v>0</v>
      </c>
      <c r="BQ99">
        <v>0</v>
      </c>
      <c r="BR99" s="3">
        <f t="shared" si="111"/>
        <v>0</v>
      </c>
      <c r="BS99">
        <v>17282</v>
      </c>
      <c r="BT99" s="3">
        <f t="shared" si="112"/>
        <v>2.6238079983481638E-3</v>
      </c>
      <c r="BU99">
        <v>59</v>
      </c>
      <c r="BV99" s="3">
        <f t="shared" si="113"/>
        <v>2.6246485640058365E-4</v>
      </c>
      <c r="BW99">
        <v>47</v>
      </c>
      <c r="BX99" s="3">
        <f t="shared" si="114"/>
        <v>3.4781321690224229E-3</v>
      </c>
      <c r="BY99">
        <v>210</v>
      </c>
      <c r="BZ99" s="3">
        <f t="shared" si="115"/>
        <v>3.572643756379721E-4</v>
      </c>
      <c r="CA99" s="1">
        <v>4990</v>
      </c>
      <c r="CB99">
        <v>8054</v>
      </c>
      <c r="CC99" s="3">
        <f t="shared" si="116"/>
        <v>2.6047865459249676E-3</v>
      </c>
      <c r="CD99">
        <v>71520</v>
      </c>
      <c r="CE99" s="3">
        <f t="shared" si="117"/>
        <v>3.3624823695345557E-3</v>
      </c>
      <c r="CF99" s="2">
        <v>147181</v>
      </c>
      <c r="CG99" s="3">
        <f t="shared" si="118"/>
        <v>0.99139203901781248</v>
      </c>
      <c r="CH99" s="2">
        <v>0</v>
      </c>
      <c r="CI99" s="3">
        <f t="shared" si="119"/>
        <v>1</v>
      </c>
      <c r="CJ99" s="2">
        <v>3159</v>
      </c>
      <c r="CK99" s="3">
        <f t="shared" si="120"/>
        <v>0.8593311662287928</v>
      </c>
      <c r="CL99" s="1" t="s">
        <v>77</v>
      </c>
    </row>
    <row r="100" spans="1:90" x14ac:dyDescent="0.3">
      <c r="A100" t="s">
        <v>242</v>
      </c>
      <c r="B100" t="s">
        <v>243</v>
      </c>
      <c r="C100">
        <v>98</v>
      </c>
      <c r="D100" s="9">
        <f t="shared" si="127"/>
        <v>72</v>
      </c>
      <c r="E100" s="9">
        <f t="shared" si="85"/>
        <v>3.4295638501140826</v>
      </c>
      <c r="F100" s="1">
        <v>6237738</v>
      </c>
      <c r="G100">
        <v>2200000</v>
      </c>
      <c r="H100" s="3">
        <f t="shared" si="126"/>
        <v>2.9333333333333334E-3</v>
      </c>
      <c r="I100">
        <v>1865000</v>
      </c>
      <c r="J100" s="3">
        <f t="shared" si="121"/>
        <v>3.012924071082391E-3</v>
      </c>
      <c r="K100">
        <v>72000</v>
      </c>
      <c r="L100" s="3">
        <f t="shared" si="122"/>
        <v>3.1441048034934497E-3</v>
      </c>
      <c r="M100">
        <v>116000</v>
      </c>
      <c r="N100" s="3">
        <f t="shared" si="123"/>
        <v>1.7998448409619859E-2</v>
      </c>
      <c r="O100">
        <v>96000</v>
      </c>
      <c r="P100" s="3">
        <f t="shared" si="124"/>
        <v>4.247787610619469E-2</v>
      </c>
      <c r="Q100">
        <v>20000</v>
      </c>
      <c r="R100" s="3">
        <f t="shared" si="86"/>
        <v>3.6363636363636364E-3</v>
      </c>
      <c r="S100">
        <v>63</v>
      </c>
      <c r="T100" s="3">
        <f t="shared" si="87"/>
        <v>4.5778229908443541E-3</v>
      </c>
      <c r="U100">
        <v>0</v>
      </c>
      <c r="V100" s="3">
        <f t="shared" si="125"/>
        <v>0</v>
      </c>
      <c r="W100">
        <v>0</v>
      </c>
      <c r="X100" s="3">
        <f t="shared" si="88"/>
        <v>0</v>
      </c>
      <c r="Y100">
        <v>48</v>
      </c>
      <c r="Z100" s="3">
        <f t="shared" si="89"/>
        <v>8.3638264506011497E-3</v>
      </c>
      <c r="AA100">
        <v>8</v>
      </c>
      <c r="AB100" s="3">
        <f t="shared" si="90"/>
        <v>2.8258565877781702E-3</v>
      </c>
      <c r="AC100">
        <v>54</v>
      </c>
      <c r="AD100" s="3">
        <f t="shared" si="91"/>
        <v>8.9035449299258041E-3</v>
      </c>
      <c r="AE100">
        <v>0</v>
      </c>
      <c r="AF100" s="3">
        <f t="shared" si="92"/>
        <v>0</v>
      </c>
      <c r="AG100">
        <v>294</v>
      </c>
      <c r="AH100" s="3">
        <f t="shared" si="93"/>
        <v>1.4542936288088643E-2</v>
      </c>
      <c r="AI100">
        <v>3796</v>
      </c>
      <c r="AJ100" s="3">
        <f t="shared" si="94"/>
        <v>9.2445570113486919E-2</v>
      </c>
      <c r="AK100">
        <v>12</v>
      </c>
      <c r="AL100" s="3">
        <f t="shared" si="95"/>
        <v>2.0093770931011385E-3</v>
      </c>
      <c r="AM100">
        <v>226</v>
      </c>
      <c r="AN100" s="3">
        <f t="shared" si="96"/>
        <v>3.0482870245481523E-2</v>
      </c>
      <c r="AO100">
        <v>30</v>
      </c>
      <c r="AP100" s="3">
        <f t="shared" si="97"/>
        <v>7.9093066174532028E-3</v>
      </c>
      <c r="AQ100">
        <v>57</v>
      </c>
      <c r="AR100" s="3">
        <f t="shared" si="98"/>
        <v>5.894519131334023E-2</v>
      </c>
      <c r="AS100">
        <v>0</v>
      </c>
      <c r="AT100" s="3">
        <f t="shared" si="99"/>
        <v>0</v>
      </c>
      <c r="AU100">
        <v>0</v>
      </c>
      <c r="AV100" s="3">
        <f t="shared" si="100"/>
        <v>0</v>
      </c>
      <c r="AW100">
        <v>0</v>
      </c>
      <c r="AX100" s="3">
        <f t="shared" si="101"/>
        <v>0</v>
      </c>
      <c r="AY100">
        <v>0</v>
      </c>
      <c r="AZ100" s="3">
        <f t="shared" si="102"/>
        <v>0</v>
      </c>
      <c r="BA100">
        <v>0</v>
      </c>
      <c r="BB100" s="3">
        <f t="shared" si="103"/>
        <v>0</v>
      </c>
      <c r="BC100">
        <v>12</v>
      </c>
      <c r="BD100" s="3">
        <f t="shared" si="104"/>
        <v>2.7397260273972601E-2</v>
      </c>
      <c r="BE100">
        <v>0</v>
      </c>
      <c r="BF100" s="3">
        <f t="shared" si="105"/>
        <v>0</v>
      </c>
      <c r="BG100">
        <v>0</v>
      </c>
      <c r="BH100" s="3">
        <f t="shared" si="106"/>
        <v>0</v>
      </c>
      <c r="BI100">
        <v>105000</v>
      </c>
      <c r="BJ100" s="3">
        <f t="shared" si="107"/>
        <v>5.5263157894736839E-3</v>
      </c>
      <c r="BK100">
        <v>0</v>
      </c>
      <c r="BL100" s="3">
        <f t="shared" si="108"/>
        <v>0</v>
      </c>
      <c r="BM100">
        <v>1628000</v>
      </c>
      <c r="BN100" s="3">
        <f t="shared" si="109"/>
        <v>2.0201017495967239E-3</v>
      </c>
      <c r="BO100">
        <v>29</v>
      </c>
      <c r="BP100" s="3">
        <f t="shared" si="110"/>
        <v>4.5220645563698739E-3</v>
      </c>
      <c r="BQ100">
        <v>2</v>
      </c>
      <c r="BR100" s="3">
        <f t="shared" si="111"/>
        <v>8.3333333333333329E-2</v>
      </c>
      <c r="BS100">
        <v>6970</v>
      </c>
      <c r="BT100" s="3">
        <f t="shared" si="112"/>
        <v>1.0582074845785615E-3</v>
      </c>
      <c r="BU100">
        <v>401</v>
      </c>
      <c r="BV100" s="3">
        <f t="shared" si="113"/>
        <v>1.7838713121463398E-3</v>
      </c>
      <c r="BW100">
        <v>8</v>
      </c>
      <c r="BX100" s="3">
        <f t="shared" si="114"/>
        <v>5.9202249685488047E-4</v>
      </c>
      <c r="BY100">
        <v>1735</v>
      </c>
      <c r="BZ100" s="3">
        <f t="shared" si="115"/>
        <v>2.9516842463422933E-3</v>
      </c>
      <c r="CA100" s="1">
        <v>40740</v>
      </c>
      <c r="CB100">
        <v>47740</v>
      </c>
      <c r="CC100" s="3">
        <f t="shared" si="116"/>
        <v>1.5439844760672703E-2</v>
      </c>
      <c r="CD100">
        <v>85160</v>
      </c>
      <c r="CE100" s="3">
        <f t="shared" si="117"/>
        <v>4.0037611659614484E-3</v>
      </c>
      <c r="CF100" s="2">
        <v>10400</v>
      </c>
      <c r="CG100" s="3">
        <f t="shared" si="118"/>
        <v>0.99939175033316285</v>
      </c>
      <c r="CH100" s="2">
        <v>225</v>
      </c>
      <c r="CI100" s="3">
        <f t="shared" si="119"/>
        <v>0.99888657957244653</v>
      </c>
      <c r="CJ100" s="2">
        <v>484</v>
      </c>
      <c r="CK100" s="3">
        <f t="shared" si="120"/>
        <v>0.97844770004898252</v>
      </c>
      <c r="CL100" s="1">
        <v>170</v>
      </c>
    </row>
    <row r="101" spans="1:90" x14ac:dyDescent="0.3">
      <c r="A101" t="s">
        <v>244</v>
      </c>
      <c r="B101" t="s">
        <v>245</v>
      </c>
      <c r="C101">
        <v>99</v>
      </c>
      <c r="D101" s="9">
        <f t="shared" si="127"/>
        <v>122</v>
      </c>
      <c r="E101" s="9">
        <f t="shared" si="85"/>
        <v>2.9367408966342365</v>
      </c>
      <c r="F101" s="1">
        <v>12530717</v>
      </c>
      <c r="G101">
        <v>6700000</v>
      </c>
      <c r="H101" s="3">
        <f t="shared" si="126"/>
        <v>8.9333333333333331E-3</v>
      </c>
      <c r="I101">
        <v>4260000</v>
      </c>
      <c r="J101" s="3">
        <f t="shared" si="121"/>
        <v>6.8820678513731824E-3</v>
      </c>
      <c r="K101">
        <v>335000</v>
      </c>
      <c r="L101" s="3">
        <f t="shared" si="122"/>
        <v>1.462882096069869E-2</v>
      </c>
      <c r="M101">
        <v>197500</v>
      </c>
      <c r="N101" s="3">
        <f t="shared" si="123"/>
        <v>3.064391000775795E-2</v>
      </c>
      <c r="O101">
        <v>197500</v>
      </c>
      <c r="P101" s="3">
        <f t="shared" si="124"/>
        <v>8.7389380530973448E-2</v>
      </c>
      <c r="Q101">
        <v>0</v>
      </c>
      <c r="R101" s="3">
        <f t="shared" si="86"/>
        <v>0</v>
      </c>
      <c r="S101">
        <v>9</v>
      </c>
      <c r="T101" s="3">
        <f t="shared" si="87"/>
        <v>6.5397471297776481E-4</v>
      </c>
      <c r="U101">
        <v>0</v>
      </c>
      <c r="V101" s="3">
        <f t="shared" si="125"/>
        <v>0</v>
      </c>
      <c r="W101">
        <v>0</v>
      </c>
      <c r="X101" s="3">
        <f t="shared" si="88"/>
        <v>0</v>
      </c>
      <c r="Y101">
        <v>9</v>
      </c>
      <c r="Z101" s="3">
        <f t="shared" si="89"/>
        <v>1.5682174594877157E-3</v>
      </c>
      <c r="AA101">
        <v>0</v>
      </c>
      <c r="AB101" s="3">
        <f t="shared" si="90"/>
        <v>0</v>
      </c>
      <c r="AC101">
        <v>9</v>
      </c>
      <c r="AD101" s="3">
        <f t="shared" si="91"/>
        <v>1.483924154987634E-3</v>
      </c>
      <c r="AE101">
        <v>0</v>
      </c>
      <c r="AF101" s="3">
        <f t="shared" si="92"/>
        <v>0</v>
      </c>
      <c r="AG101">
        <v>110</v>
      </c>
      <c r="AH101" s="3">
        <f t="shared" si="93"/>
        <v>5.4412346656113973E-3</v>
      </c>
      <c r="AI101">
        <v>250</v>
      </c>
      <c r="AJ101" s="3">
        <f t="shared" si="94"/>
        <v>6.0883541960937123E-3</v>
      </c>
      <c r="AK101">
        <v>24</v>
      </c>
      <c r="AL101" s="3">
        <f t="shared" si="95"/>
        <v>4.0187541862022769E-3</v>
      </c>
      <c r="AM101">
        <v>0</v>
      </c>
      <c r="AN101" s="3">
        <f t="shared" si="96"/>
        <v>0</v>
      </c>
      <c r="AO101">
        <v>15</v>
      </c>
      <c r="AP101" s="3">
        <f t="shared" si="97"/>
        <v>3.9546533087266014E-3</v>
      </c>
      <c r="AQ101">
        <v>0</v>
      </c>
      <c r="AR101" s="3">
        <f t="shared" si="98"/>
        <v>0</v>
      </c>
      <c r="AS101">
        <v>0</v>
      </c>
      <c r="AT101" s="3">
        <f t="shared" si="99"/>
        <v>0</v>
      </c>
      <c r="AU101">
        <v>0</v>
      </c>
      <c r="AV101" s="3">
        <f t="shared" si="100"/>
        <v>0</v>
      </c>
      <c r="AW101">
        <v>0</v>
      </c>
      <c r="AX101" s="3">
        <f t="shared" si="101"/>
        <v>0</v>
      </c>
      <c r="AY101">
        <v>0</v>
      </c>
      <c r="AZ101" s="3">
        <f t="shared" si="102"/>
        <v>0</v>
      </c>
      <c r="BA101">
        <v>0</v>
      </c>
      <c r="BB101" s="3">
        <f t="shared" si="103"/>
        <v>0</v>
      </c>
      <c r="BC101">
        <v>0</v>
      </c>
      <c r="BD101" s="3">
        <f t="shared" si="104"/>
        <v>0</v>
      </c>
      <c r="BE101">
        <v>0</v>
      </c>
      <c r="BF101" s="3">
        <f t="shared" si="105"/>
        <v>0</v>
      </c>
      <c r="BG101">
        <v>440000</v>
      </c>
      <c r="BH101" s="3">
        <f t="shared" si="106"/>
        <v>4.3521266073194856E-2</v>
      </c>
      <c r="BI101">
        <v>65000</v>
      </c>
      <c r="BJ101" s="3">
        <f t="shared" si="107"/>
        <v>3.4210526315789475E-3</v>
      </c>
      <c r="BK101">
        <v>3750000000</v>
      </c>
      <c r="BL101" s="3">
        <f t="shared" si="108"/>
        <v>1.2500000000000001E-2</v>
      </c>
      <c r="BM101">
        <v>750000</v>
      </c>
      <c r="BN101" s="3">
        <f t="shared" si="109"/>
        <v>9.3063655540389625E-4</v>
      </c>
      <c r="BO101">
        <v>0</v>
      </c>
      <c r="BP101" s="3">
        <f t="shared" si="110"/>
        <v>0</v>
      </c>
      <c r="BQ101">
        <v>0</v>
      </c>
      <c r="BR101" s="3">
        <f t="shared" si="111"/>
        <v>0</v>
      </c>
      <c r="BS101">
        <v>7000</v>
      </c>
      <c r="BT101" s="3">
        <f t="shared" si="112"/>
        <v>1.0627621796341364E-3</v>
      </c>
      <c r="BU101">
        <v>236</v>
      </c>
      <c r="BV101" s="3">
        <f t="shared" si="113"/>
        <v>1.0498594256023346E-3</v>
      </c>
      <c r="BW101">
        <v>85</v>
      </c>
      <c r="BX101" s="3">
        <f t="shared" si="114"/>
        <v>6.2902390290831053E-3</v>
      </c>
      <c r="BY101">
        <v>545</v>
      </c>
      <c r="BZ101" s="3">
        <f t="shared" si="115"/>
        <v>9.2718611772711808E-4</v>
      </c>
      <c r="CA101" s="1">
        <v>2250</v>
      </c>
      <c r="CB101">
        <v>100</v>
      </c>
      <c r="CC101" s="3">
        <f t="shared" si="116"/>
        <v>3.2341526520051748E-5</v>
      </c>
      <c r="CD101">
        <v>20880</v>
      </c>
      <c r="CE101" s="3">
        <f t="shared" si="117"/>
        <v>9.8166431593794067E-4</v>
      </c>
      <c r="CF101" s="2">
        <v>644329</v>
      </c>
      <c r="CG101" s="3">
        <f t="shared" si="118"/>
        <v>0.96231606734774255</v>
      </c>
      <c r="CH101" s="2">
        <v>0</v>
      </c>
      <c r="CI101" s="3">
        <f t="shared" si="119"/>
        <v>1</v>
      </c>
      <c r="CJ101" s="2">
        <v>6018</v>
      </c>
      <c r="CK101" s="3">
        <f t="shared" si="120"/>
        <v>0.73202119606358818</v>
      </c>
      <c r="CL101" s="1" t="s">
        <v>77</v>
      </c>
    </row>
    <row r="102" spans="1:90" x14ac:dyDescent="0.3">
      <c r="A102" t="s">
        <v>246</v>
      </c>
      <c r="B102" t="s">
        <v>247</v>
      </c>
      <c r="C102">
        <v>100</v>
      </c>
      <c r="D102" s="9">
        <f t="shared" si="127"/>
        <v>97</v>
      </c>
      <c r="E102" s="9">
        <f t="shared" si="85"/>
        <v>3.1981399432883832</v>
      </c>
      <c r="F102" s="1">
        <v>15189958</v>
      </c>
      <c r="G102">
        <v>6600000</v>
      </c>
      <c r="H102" s="3">
        <f t="shared" si="126"/>
        <v>8.8000000000000005E-3</v>
      </c>
      <c r="I102">
        <v>5518000</v>
      </c>
      <c r="J102" s="3">
        <f t="shared" si="121"/>
        <v>8.9143780290791598E-3</v>
      </c>
      <c r="K102">
        <v>340000</v>
      </c>
      <c r="L102" s="3">
        <f t="shared" si="122"/>
        <v>1.4847161572052401E-2</v>
      </c>
      <c r="M102">
        <v>106775</v>
      </c>
      <c r="N102" s="3">
        <f t="shared" si="123"/>
        <v>1.6567106283941039E-2</v>
      </c>
      <c r="O102">
        <v>16775</v>
      </c>
      <c r="P102" s="3">
        <f t="shared" si="124"/>
        <v>7.4225663716814159E-3</v>
      </c>
      <c r="Q102">
        <v>90000</v>
      </c>
      <c r="R102" s="3">
        <f t="shared" si="86"/>
        <v>1.6363636363636365E-2</v>
      </c>
      <c r="S102">
        <v>35</v>
      </c>
      <c r="T102" s="3">
        <f t="shared" si="87"/>
        <v>2.5432349949135302E-3</v>
      </c>
      <c r="U102">
        <v>0</v>
      </c>
      <c r="V102" s="3">
        <f t="shared" si="125"/>
        <v>0</v>
      </c>
      <c r="W102">
        <v>4</v>
      </c>
      <c r="X102" s="3">
        <f t="shared" si="88"/>
        <v>1.436265709156194E-3</v>
      </c>
      <c r="Y102">
        <v>27</v>
      </c>
      <c r="Z102" s="3">
        <f t="shared" si="89"/>
        <v>4.7046523784631472E-3</v>
      </c>
      <c r="AA102">
        <v>4</v>
      </c>
      <c r="AB102" s="3">
        <f t="shared" si="90"/>
        <v>1.4129282938890851E-3</v>
      </c>
      <c r="AC102">
        <v>19</v>
      </c>
      <c r="AD102" s="3">
        <f t="shared" si="91"/>
        <v>3.1327287716405605E-3</v>
      </c>
      <c r="AE102">
        <v>0</v>
      </c>
      <c r="AF102" s="3">
        <f t="shared" si="92"/>
        <v>0</v>
      </c>
      <c r="AG102">
        <v>20</v>
      </c>
      <c r="AH102" s="3">
        <f t="shared" si="93"/>
        <v>9.8931539374752671E-4</v>
      </c>
      <c r="AI102">
        <v>134</v>
      </c>
      <c r="AJ102" s="3">
        <f t="shared" si="94"/>
        <v>3.2633578491062295E-3</v>
      </c>
      <c r="AK102">
        <v>0</v>
      </c>
      <c r="AL102" s="3">
        <f t="shared" si="95"/>
        <v>0</v>
      </c>
      <c r="AM102">
        <v>88</v>
      </c>
      <c r="AN102" s="3">
        <f t="shared" si="96"/>
        <v>1.1869436201780416E-2</v>
      </c>
      <c r="AO102">
        <v>0</v>
      </c>
      <c r="AP102" s="3">
        <f t="shared" si="97"/>
        <v>0</v>
      </c>
      <c r="AQ102">
        <v>26</v>
      </c>
      <c r="AR102" s="3">
        <f t="shared" si="98"/>
        <v>2.688728024819028E-2</v>
      </c>
      <c r="AS102">
        <v>0</v>
      </c>
      <c r="AT102" s="3">
        <f t="shared" si="99"/>
        <v>0</v>
      </c>
      <c r="AU102">
        <v>0</v>
      </c>
      <c r="AV102" s="3">
        <f t="shared" si="100"/>
        <v>0</v>
      </c>
      <c r="AW102">
        <v>0</v>
      </c>
      <c r="AX102" s="3">
        <f t="shared" si="101"/>
        <v>0</v>
      </c>
      <c r="AY102">
        <v>0</v>
      </c>
      <c r="AZ102" s="3">
        <f t="shared" si="102"/>
        <v>0</v>
      </c>
      <c r="BA102">
        <v>0</v>
      </c>
      <c r="BB102" s="3">
        <f t="shared" si="103"/>
        <v>0</v>
      </c>
      <c r="BC102">
        <v>10</v>
      </c>
      <c r="BD102" s="3">
        <f t="shared" si="104"/>
        <v>2.2831050228310501E-2</v>
      </c>
      <c r="BE102">
        <v>0</v>
      </c>
      <c r="BF102" s="3">
        <f t="shared" si="105"/>
        <v>0</v>
      </c>
      <c r="BG102">
        <v>10050</v>
      </c>
      <c r="BH102" s="3">
        <f t="shared" si="106"/>
        <v>9.9406528189910988E-4</v>
      </c>
      <c r="BI102">
        <v>80000</v>
      </c>
      <c r="BJ102" s="3">
        <f t="shared" si="107"/>
        <v>4.2105263157894736E-3</v>
      </c>
      <c r="BK102">
        <v>83070000</v>
      </c>
      <c r="BL102" s="3">
        <f t="shared" si="108"/>
        <v>2.7690000000000001E-4</v>
      </c>
      <c r="BM102">
        <v>4623000</v>
      </c>
      <c r="BN102" s="3">
        <f t="shared" si="109"/>
        <v>5.7364437275096167E-3</v>
      </c>
      <c r="BO102">
        <v>0</v>
      </c>
      <c r="BP102" s="3">
        <f t="shared" si="110"/>
        <v>0</v>
      </c>
      <c r="BQ102">
        <v>2</v>
      </c>
      <c r="BR102" s="3">
        <f t="shared" si="111"/>
        <v>8.3333333333333329E-2</v>
      </c>
      <c r="BS102">
        <v>11501</v>
      </c>
      <c r="BT102" s="3">
        <f t="shared" si="112"/>
        <v>1.7461182611388864E-3</v>
      </c>
      <c r="BU102">
        <v>332</v>
      </c>
      <c r="BV102" s="3">
        <f t="shared" si="113"/>
        <v>1.4769208868643012E-3</v>
      </c>
      <c r="BW102">
        <v>291</v>
      </c>
      <c r="BX102" s="3">
        <f t="shared" si="114"/>
        <v>2.1534818323096276E-2</v>
      </c>
      <c r="BY102">
        <v>210</v>
      </c>
      <c r="BZ102" s="3">
        <f t="shared" si="115"/>
        <v>3.572643756379721E-4</v>
      </c>
      <c r="CA102" s="1">
        <v>19090</v>
      </c>
      <c r="CB102">
        <v>8803</v>
      </c>
      <c r="CC102" s="3">
        <f t="shared" si="116"/>
        <v>2.8470245795601552E-3</v>
      </c>
      <c r="CD102">
        <v>132300</v>
      </c>
      <c r="CE102" s="3">
        <f t="shared" si="117"/>
        <v>6.2200282087447106E-3</v>
      </c>
      <c r="CF102" s="2">
        <v>108889</v>
      </c>
      <c r="CG102" s="3">
        <f t="shared" si="118"/>
        <v>0.99363156750267079</v>
      </c>
      <c r="CH102" s="2">
        <v>400</v>
      </c>
      <c r="CI102" s="3">
        <f t="shared" si="119"/>
        <v>0.99802058590657161</v>
      </c>
      <c r="CJ102" s="2">
        <v>1667</v>
      </c>
      <c r="CK102" s="3">
        <f t="shared" si="120"/>
        <v>0.92576924789597903</v>
      </c>
      <c r="CL102" s="1">
        <v>990</v>
      </c>
    </row>
    <row r="103" spans="1:90" x14ac:dyDescent="0.3">
      <c r="A103" t="s">
        <v>248</v>
      </c>
      <c r="B103" t="s">
        <v>249</v>
      </c>
      <c r="C103">
        <v>101</v>
      </c>
      <c r="D103" s="9">
        <f t="shared" ref="D103:D134" si="128">RANK(E103,$E$2:$E$135)</f>
        <v>104</v>
      </c>
      <c r="E103" s="9">
        <f t="shared" si="85"/>
        <v>3.1426589733653434</v>
      </c>
      <c r="F103" s="1">
        <v>26908262</v>
      </c>
      <c r="G103">
        <v>12500000</v>
      </c>
      <c r="H103" s="3">
        <f t="shared" si="126"/>
        <v>1.6666666666666666E-2</v>
      </c>
      <c r="I103">
        <v>8360000</v>
      </c>
      <c r="J103" s="3">
        <f t="shared" si="121"/>
        <v>1.3505654281098546E-2</v>
      </c>
      <c r="K103">
        <v>530000</v>
      </c>
      <c r="L103" s="3">
        <f t="shared" si="122"/>
        <v>2.3144104803493451E-2</v>
      </c>
      <c r="M103">
        <v>13500</v>
      </c>
      <c r="N103" s="3">
        <f t="shared" si="123"/>
        <v>2.0946470131885182E-3</v>
      </c>
      <c r="O103">
        <v>13500</v>
      </c>
      <c r="P103" s="3">
        <f t="shared" si="124"/>
        <v>5.9734513274336282E-3</v>
      </c>
      <c r="Q103">
        <v>0</v>
      </c>
      <c r="R103" s="3">
        <f t="shared" si="86"/>
        <v>0</v>
      </c>
      <c r="S103">
        <v>25</v>
      </c>
      <c r="T103" s="3">
        <f t="shared" si="87"/>
        <v>1.8165964249382358E-3</v>
      </c>
      <c r="U103">
        <v>0</v>
      </c>
      <c r="V103" s="3">
        <f t="shared" si="125"/>
        <v>0</v>
      </c>
      <c r="W103">
        <v>0</v>
      </c>
      <c r="X103" s="3">
        <f t="shared" si="88"/>
        <v>0</v>
      </c>
      <c r="Y103">
        <v>13</v>
      </c>
      <c r="Z103" s="3">
        <f t="shared" si="89"/>
        <v>2.2652029970378113E-3</v>
      </c>
      <c r="AA103">
        <v>5</v>
      </c>
      <c r="AB103" s="3">
        <f t="shared" si="90"/>
        <v>1.7661603673613563E-3</v>
      </c>
      <c r="AC103">
        <v>14</v>
      </c>
      <c r="AD103" s="3">
        <f t="shared" si="91"/>
        <v>2.3083264633140975E-3</v>
      </c>
      <c r="AE103">
        <v>0</v>
      </c>
      <c r="AF103" s="3">
        <f t="shared" si="92"/>
        <v>0</v>
      </c>
      <c r="AG103">
        <v>0</v>
      </c>
      <c r="AH103" s="3">
        <f t="shared" si="93"/>
        <v>0</v>
      </c>
      <c r="AI103">
        <v>300</v>
      </c>
      <c r="AJ103" s="3">
        <f t="shared" si="94"/>
        <v>7.3060250353124542E-3</v>
      </c>
      <c r="AK103">
        <v>0</v>
      </c>
      <c r="AL103" s="3">
        <f t="shared" si="95"/>
        <v>0</v>
      </c>
      <c r="AM103">
        <v>0</v>
      </c>
      <c r="AN103" s="3">
        <f t="shared" si="96"/>
        <v>0</v>
      </c>
      <c r="AO103">
        <v>0</v>
      </c>
      <c r="AP103" s="3">
        <f t="shared" si="97"/>
        <v>0</v>
      </c>
      <c r="AQ103">
        <v>20</v>
      </c>
      <c r="AR103" s="3">
        <f t="shared" si="98"/>
        <v>2.0682523267838676E-2</v>
      </c>
      <c r="AS103">
        <v>0</v>
      </c>
      <c r="AT103" s="3">
        <f t="shared" si="99"/>
        <v>0</v>
      </c>
      <c r="AU103">
        <v>0</v>
      </c>
      <c r="AV103" s="3">
        <f t="shared" si="100"/>
        <v>0</v>
      </c>
      <c r="AW103">
        <v>0</v>
      </c>
      <c r="AX103" s="3">
        <f t="shared" si="101"/>
        <v>0</v>
      </c>
      <c r="AY103">
        <v>0</v>
      </c>
      <c r="AZ103" s="3">
        <f t="shared" si="102"/>
        <v>0</v>
      </c>
      <c r="BA103">
        <v>0</v>
      </c>
      <c r="BB103" s="3">
        <f t="shared" si="103"/>
        <v>0</v>
      </c>
      <c r="BC103">
        <v>11</v>
      </c>
      <c r="BD103" s="3">
        <f t="shared" si="104"/>
        <v>2.5114155251141551E-2</v>
      </c>
      <c r="BE103">
        <v>0</v>
      </c>
      <c r="BF103" s="3">
        <f t="shared" si="105"/>
        <v>0</v>
      </c>
      <c r="BG103">
        <v>105000</v>
      </c>
      <c r="BH103" s="3">
        <f t="shared" si="106"/>
        <v>1.0385756676557863E-2</v>
      </c>
      <c r="BI103">
        <v>67000</v>
      </c>
      <c r="BJ103" s="3">
        <f t="shared" si="107"/>
        <v>3.5263157894736843E-3</v>
      </c>
      <c r="BK103">
        <v>660000000</v>
      </c>
      <c r="BL103" s="3">
        <f t="shared" si="108"/>
        <v>2.2000000000000001E-3</v>
      </c>
      <c r="BM103">
        <v>11990000</v>
      </c>
      <c r="BN103" s="3">
        <f t="shared" si="109"/>
        <v>1.4877776399056955E-2</v>
      </c>
      <c r="BO103">
        <v>4</v>
      </c>
      <c r="BP103" s="3">
        <f t="shared" si="110"/>
        <v>6.2373304225791365E-4</v>
      </c>
      <c r="BQ103">
        <v>2</v>
      </c>
      <c r="BR103" s="3">
        <f t="shared" si="111"/>
        <v>8.3333333333333329E-2</v>
      </c>
      <c r="BS103">
        <v>109515</v>
      </c>
      <c r="BT103" s="3">
        <f t="shared" si="112"/>
        <v>1.6626914300376067E-2</v>
      </c>
      <c r="BU103">
        <v>947</v>
      </c>
      <c r="BV103" s="3">
        <f t="shared" si="113"/>
        <v>4.2127833730737745E-3</v>
      </c>
      <c r="BW103">
        <v>10</v>
      </c>
      <c r="BX103" s="3">
        <f t="shared" si="114"/>
        <v>7.4002812106860056E-4</v>
      </c>
      <c r="BY103">
        <v>120</v>
      </c>
      <c r="BZ103" s="3">
        <f t="shared" si="115"/>
        <v>2.0415107179312691E-4</v>
      </c>
      <c r="CA103" s="1">
        <v>21170</v>
      </c>
      <c r="CB103">
        <v>6137</v>
      </c>
      <c r="CC103" s="3">
        <f t="shared" si="116"/>
        <v>1.9847994825355755E-3</v>
      </c>
      <c r="CD103">
        <v>120800</v>
      </c>
      <c r="CE103" s="3">
        <f t="shared" si="117"/>
        <v>5.6793606017865542E-3</v>
      </c>
      <c r="CF103" s="2">
        <v>238533</v>
      </c>
      <c r="CG103" s="3">
        <f t="shared" si="118"/>
        <v>0.98604926752118727</v>
      </c>
      <c r="CH103" s="2">
        <v>539</v>
      </c>
      <c r="CI103" s="3">
        <f t="shared" si="119"/>
        <v>0.99733273950910528</v>
      </c>
      <c r="CJ103" s="2">
        <v>2420</v>
      </c>
      <c r="CK103" s="3">
        <f t="shared" si="120"/>
        <v>0.89223850024491247</v>
      </c>
      <c r="CL103" s="1">
        <v>1293</v>
      </c>
    </row>
    <row r="104" spans="1:90" x14ac:dyDescent="0.3">
      <c r="A104" t="s">
        <v>250</v>
      </c>
      <c r="B104" t="s">
        <v>251</v>
      </c>
      <c r="C104">
        <v>102</v>
      </c>
      <c r="D104" s="9">
        <f t="shared" si="128"/>
        <v>79</v>
      </c>
      <c r="E104" s="9">
        <f t="shared" si="85"/>
        <v>3.3394072066315568</v>
      </c>
      <c r="F104" s="1">
        <v>4474549</v>
      </c>
      <c r="G104">
        <v>2100000</v>
      </c>
      <c r="H104" s="3">
        <f t="shared" si="126"/>
        <v>2.8E-3</v>
      </c>
      <c r="I104">
        <v>1675000</v>
      </c>
      <c r="J104" s="3">
        <f t="shared" si="121"/>
        <v>2.7059773828756058E-3</v>
      </c>
      <c r="K104">
        <v>60000</v>
      </c>
      <c r="L104" s="3">
        <f t="shared" si="122"/>
        <v>2.6200873362445414E-3</v>
      </c>
      <c r="M104">
        <v>11300</v>
      </c>
      <c r="N104" s="3">
        <f t="shared" si="123"/>
        <v>1.7532971295577968E-3</v>
      </c>
      <c r="O104">
        <v>9000</v>
      </c>
      <c r="P104" s="3">
        <f t="shared" si="124"/>
        <v>3.9823008849557522E-3</v>
      </c>
      <c r="Q104">
        <v>2300</v>
      </c>
      <c r="R104" s="3">
        <f t="shared" si="86"/>
        <v>4.1818181818181819E-4</v>
      </c>
      <c r="S104">
        <v>48</v>
      </c>
      <c r="T104" s="3">
        <f t="shared" si="87"/>
        <v>3.4878651358814126E-3</v>
      </c>
      <c r="U104">
        <v>0</v>
      </c>
      <c r="V104" s="3">
        <f t="shared" si="125"/>
        <v>0</v>
      </c>
      <c r="W104">
        <v>0</v>
      </c>
      <c r="X104" s="3">
        <f t="shared" si="88"/>
        <v>0</v>
      </c>
      <c r="Y104">
        <v>30</v>
      </c>
      <c r="Z104" s="3">
        <f t="shared" si="89"/>
        <v>5.2273915316257188E-3</v>
      </c>
      <c r="AA104">
        <v>15</v>
      </c>
      <c r="AB104" s="3">
        <f t="shared" si="90"/>
        <v>5.2984811020840693E-3</v>
      </c>
      <c r="AC104">
        <v>21</v>
      </c>
      <c r="AD104" s="3">
        <f t="shared" si="91"/>
        <v>3.4624896949711458E-3</v>
      </c>
      <c r="AE104">
        <v>0</v>
      </c>
      <c r="AF104" s="3">
        <f t="shared" si="92"/>
        <v>0</v>
      </c>
      <c r="AG104">
        <v>0</v>
      </c>
      <c r="AH104" s="3">
        <f t="shared" si="93"/>
        <v>0</v>
      </c>
      <c r="AI104">
        <v>155</v>
      </c>
      <c r="AJ104" s="3">
        <f t="shared" si="94"/>
        <v>3.7747796015781014E-3</v>
      </c>
      <c r="AK104">
        <v>0</v>
      </c>
      <c r="AL104" s="3">
        <f t="shared" si="95"/>
        <v>0</v>
      </c>
      <c r="AM104">
        <v>24</v>
      </c>
      <c r="AN104" s="3">
        <f t="shared" si="96"/>
        <v>3.2371189641219314E-3</v>
      </c>
      <c r="AO104">
        <v>0</v>
      </c>
      <c r="AP104" s="3">
        <f t="shared" si="97"/>
        <v>0</v>
      </c>
      <c r="AQ104">
        <v>11</v>
      </c>
      <c r="AR104" s="3">
        <f t="shared" si="98"/>
        <v>1.1375387797311272E-2</v>
      </c>
      <c r="AS104">
        <v>0</v>
      </c>
      <c r="AT104" s="3">
        <f t="shared" si="99"/>
        <v>0</v>
      </c>
      <c r="AU104">
        <v>2</v>
      </c>
      <c r="AV104" s="3">
        <f t="shared" si="100"/>
        <v>3.9215686274509803E-2</v>
      </c>
      <c r="AW104">
        <v>0</v>
      </c>
      <c r="AX104" s="3">
        <f t="shared" si="101"/>
        <v>0</v>
      </c>
      <c r="AY104">
        <v>0</v>
      </c>
      <c r="AZ104" s="3">
        <f t="shared" si="102"/>
        <v>0</v>
      </c>
      <c r="BA104">
        <v>0</v>
      </c>
      <c r="BB104" s="3">
        <f t="shared" si="103"/>
        <v>0</v>
      </c>
      <c r="BC104">
        <v>6</v>
      </c>
      <c r="BD104" s="3">
        <f t="shared" si="104"/>
        <v>1.3698630136986301E-2</v>
      </c>
      <c r="BE104">
        <v>0</v>
      </c>
      <c r="BF104" s="3">
        <f t="shared" si="105"/>
        <v>0</v>
      </c>
      <c r="BG104">
        <v>39860</v>
      </c>
      <c r="BH104" s="3">
        <f t="shared" si="106"/>
        <v>3.9426310583580617E-3</v>
      </c>
      <c r="BI104">
        <v>153000</v>
      </c>
      <c r="BJ104" s="3">
        <f t="shared" si="107"/>
        <v>8.0526315789473685E-3</v>
      </c>
      <c r="BK104">
        <v>67200000</v>
      </c>
      <c r="BL104" s="3">
        <f t="shared" si="108"/>
        <v>2.24E-4</v>
      </c>
      <c r="BM104">
        <v>2562000</v>
      </c>
      <c r="BN104" s="3">
        <f t="shared" si="109"/>
        <v>3.1790544732597098E-3</v>
      </c>
      <c r="BO104">
        <v>15</v>
      </c>
      <c r="BP104" s="3">
        <f t="shared" si="110"/>
        <v>2.3389989084671762E-3</v>
      </c>
      <c r="BQ104">
        <v>6</v>
      </c>
      <c r="BR104" s="3">
        <f t="shared" si="111"/>
        <v>0.25</v>
      </c>
      <c r="BS104">
        <v>94160</v>
      </c>
      <c r="BT104" s="3">
        <f t="shared" si="112"/>
        <v>1.4295669547764327E-2</v>
      </c>
      <c r="BU104">
        <v>4128</v>
      </c>
      <c r="BV104" s="3">
        <f t="shared" si="113"/>
        <v>1.8363642834264563E-2</v>
      </c>
      <c r="BW104">
        <v>123</v>
      </c>
      <c r="BX104" s="3">
        <f t="shared" si="114"/>
        <v>9.1023458891437876E-3</v>
      </c>
      <c r="BY104">
        <v>1870</v>
      </c>
      <c r="BZ104" s="3">
        <f t="shared" si="115"/>
        <v>3.1813542021095612E-3</v>
      </c>
      <c r="CA104" s="1">
        <v>81390</v>
      </c>
      <c r="CB104">
        <v>18550</v>
      </c>
      <c r="CC104" s="3">
        <f t="shared" si="116"/>
        <v>5.9993531694695987E-3</v>
      </c>
      <c r="CD104">
        <v>174800</v>
      </c>
      <c r="CE104" s="3">
        <f t="shared" si="117"/>
        <v>8.2181476257639861E-3</v>
      </c>
      <c r="CF104" s="2">
        <v>267710</v>
      </c>
      <c r="CG104" s="3">
        <f t="shared" si="118"/>
        <v>0.98434283477798479</v>
      </c>
      <c r="CH104" s="2">
        <v>15134</v>
      </c>
      <c r="CI104" s="3">
        <f t="shared" si="119"/>
        <v>0.92510886777513857</v>
      </c>
      <c r="CJ104" s="2">
        <v>0</v>
      </c>
      <c r="CK104" s="3">
        <f t="shared" si="120"/>
        <v>1</v>
      </c>
      <c r="CL104" s="1" t="s">
        <v>77</v>
      </c>
    </row>
    <row r="105" spans="1:90" x14ac:dyDescent="0.3">
      <c r="A105" t="s">
        <v>252</v>
      </c>
      <c r="B105" t="s">
        <v>253</v>
      </c>
      <c r="C105">
        <v>103</v>
      </c>
      <c r="D105" s="9">
        <f t="shared" si="128"/>
        <v>90</v>
      </c>
      <c r="E105" s="9">
        <f t="shared" si="85"/>
        <v>3.2463078803536884</v>
      </c>
      <c r="F105" s="1">
        <v>1965686</v>
      </c>
      <c r="G105">
        <v>850000</v>
      </c>
      <c r="H105" s="3">
        <f t="shared" si="126"/>
        <v>1.1333333333333334E-3</v>
      </c>
      <c r="I105">
        <v>850000</v>
      </c>
      <c r="J105" s="3">
        <f t="shared" si="121"/>
        <v>1.3731825525040387E-3</v>
      </c>
      <c r="K105">
        <v>20500</v>
      </c>
      <c r="L105" s="3">
        <f t="shared" si="122"/>
        <v>8.9519650655021834E-4</v>
      </c>
      <c r="M105">
        <v>17155</v>
      </c>
      <c r="N105" s="3">
        <f t="shared" si="123"/>
        <v>2.6617532971295577E-3</v>
      </c>
      <c r="O105">
        <v>9155</v>
      </c>
      <c r="P105" s="3">
        <f t="shared" si="124"/>
        <v>4.050884955752212E-3</v>
      </c>
      <c r="Q105">
        <v>8000</v>
      </c>
      <c r="R105" s="3">
        <f t="shared" si="86"/>
        <v>1.4545454545454545E-3</v>
      </c>
      <c r="S105">
        <v>4</v>
      </c>
      <c r="T105" s="3">
        <f t="shared" si="87"/>
        <v>2.906554279901177E-4</v>
      </c>
      <c r="U105">
        <v>0</v>
      </c>
      <c r="V105" s="3">
        <f t="shared" si="125"/>
        <v>0</v>
      </c>
      <c r="W105">
        <v>0</v>
      </c>
      <c r="X105" s="3">
        <f t="shared" si="88"/>
        <v>0</v>
      </c>
      <c r="Y105">
        <v>4</v>
      </c>
      <c r="Z105" s="3">
        <f t="shared" si="89"/>
        <v>6.9698553755009581E-4</v>
      </c>
      <c r="AA105">
        <v>0</v>
      </c>
      <c r="AB105" s="3">
        <f t="shared" si="90"/>
        <v>0</v>
      </c>
      <c r="AC105">
        <v>4</v>
      </c>
      <c r="AD105" s="3">
        <f t="shared" si="91"/>
        <v>6.5952184666117069E-4</v>
      </c>
      <c r="AE105">
        <v>0</v>
      </c>
      <c r="AF105" s="3">
        <f t="shared" si="92"/>
        <v>0</v>
      </c>
      <c r="AG105">
        <v>0</v>
      </c>
      <c r="AH105" s="3">
        <f t="shared" si="93"/>
        <v>0</v>
      </c>
      <c r="AI105">
        <v>250</v>
      </c>
      <c r="AJ105" s="3">
        <f t="shared" si="94"/>
        <v>6.0883541960937123E-3</v>
      </c>
      <c r="AK105">
        <v>0</v>
      </c>
      <c r="AL105" s="3">
        <f t="shared" si="95"/>
        <v>0</v>
      </c>
      <c r="AM105">
        <v>20</v>
      </c>
      <c r="AN105" s="3">
        <f t="shared" si="96"/>
        <v>2.6975991367682761E-3</v>
      </c>
      <c r="AO105">
        <v>0</v>
      </c>
      <c r="AP105" s="3">
        <f t="shared" si="97"/>
        <v>0</v>
      </c>
      <c r="AQ105">
        <v>18</v>
      </c>
      <c r="AR105" s="3">
        <f t="shared" si="98"/>
        <v>1.8614270941054809E-2</v>
      </c>
      <c r="AS105">
        <v>0</v>
      </c>
      <c r="AT105" s="3">
        <f t="shared" si="99"/>
        <v>0</v>
      </c>
      <c r="AU105">
        <v>0</v>
      </c>
      <c r="AV105" s="3">
        <f t="shared" si="100"/>
        <v>0</v>
      </c>
      <c r="AW105">
        <v>0</v>
      </c>
      <c r="AX105" s="3">
        <f t="shared" si="101"/>
        <v>0</v>
      </c>
      <c r="AY105">
        <v>0</v>
      </c>
      <c r="AZ105" s="3">
        <f t="shared" si="102"/>
        <v>0</v>
      </c>
      <c r="BA105">
        <v>0</v>
      </c>
      <c r="BB105" s="3">
        <f t="shared" si="103"/>
        <v>0</v>
      </c>
      <c r="BC105">
        <v>11</v>
      </c>
      <c r="BD105" s="3">
        <f t="shared" si="104"/>
        <v>2.5114155251141551E-2</v>
      </c>
      <c r="BE105">
        <v>6</v>
      </c>
      <c r="BF105" s="3">
        <f t="shared" si="105"/>
        <v>0.13043478260869565</v>
      </c>
      <c r="BG105">
        <v>50</v>
      </c>
      <c r="BH105" s="3">
        <f t="shared" si="106"/>
        <v>4.9455984174085064E-6</v>
      </c>
      <c r="BI105">
        <v>33670</v>
      </c>
      <c r="BJ105" s="3">
        <f t="shared" si="107"/>
        <v>1.7721052631578947E-3</v>
      </c>
      <c r="BK105">
        <v>0</v>
      </c>
      <c r="BL105" s="3">
        <f t="shared" si="108"/>
        <v>0</v>
      </c>
      <c r="BM105">
        <v>968700</v>
      </c>
      <c r="BN105" s="3">
        <f t="shared" si="109"/>
        <v>1.2020101749596725E-3</v>
      </c>
      <c r="BO105">
        <v>11</v>
      </c>
      <c r="BP105" s="3">
        <f t="shared" si="110"/>
        <v>1.7152658662092624E-3</v>
      </c>
      <c r="BQ105">
        <v>2</v>
      </c>
      <c r="BR105" s="3">
        <f t="shared" si="111"/>
        <v>8.3333333333333329E-2</v>
      </c>
      <c r="BS105">
        <v>72440</v>
      </c>
      <c r="BT105" s="3">
        <f t="shared" si="112"/>
        <v>1.0998070327528121E-2</v>
      </c>
      <c r="BU105">
        <v>2239</v>
      </c>
      <c r="BV105" s="3">
        <f t="shared" si="113"/>
        <v>9.9603188725577423E-3</v>
      </c>
      <c r="BW105">
        <v>42</v>
      </c>
      <c r="BX105" s="3">
        <f t="shared" si="114"/>
        <v>3.1081181084881226E-3</v>
      </c>
      <c r="BY105">
        <v>280</v>
      </c>
      <c r="BZ105" s="3">
        <f t="shared" si="115"/>
        <v>4.7635250085062945E-4</v>
      </c>
      <c r="CA105" s="1">
        <v>40020</v>
      </c>
      <c r="CB105">
        <v>7507</v>
      </c>
      <c r="CC105" s="3">
        <f t="shared" si="116"/>
        <v>2.4278783958602847E-3</v>
      </c>
      <c r="CD105">
        <v>50870</v>
      </c>
      <c r="CE105" s="3">
        <f t="shared" si="117"/>
        <v>2.3916314057357783E-3</v>
      </c>
      <c r="CF105" s="2">
        <v>64589</v>
      </c>
      <c r="CG105" s="3">
        <f t="shared" si="118"/>
        <v>0.99622247714121726</v>
      </c>
      <c r="CH105" s="2">
        <v>498</v>
      </c>
      <c r="CI105" s="3">
        <f t="shared" si="119"/>
        <v>0.99753562945368168</v>
      </c>
      <c r="CJ105" s="2">
        <v>1370</v>
      </c>
      <c r="CK105" s="3">
        <f t="shared" si="120"/>
        <v>0.93899452286592155</v>
      </c>
      <c r="CL105" s="1">
        <v>300</v>
      </c>
    </row>
    <row r="106" spans="1:90" x14ac:dyDescent="0.3">
      <c r="A106" t="s">
        <v>254</v>
      </c>
      <c r="B106" t="s">
        <v>255</v>
      </c>
      <c r="C106">
        <v>104</v>
      </c>
      <c r="D106" s="9">
        <f t="shared" si="128"/>
        <v>98</v>
      </c>
      <c r="E106" s="9">
        <f t="shared" si="85"/>
        <v>3.1972349925808006</v>
      </c>
      <c r="F106" s="1">
        <v>3351016</v>
      </c>
      <c r="G106">
        <v>1555000</v>
      </c>
      <c r="H106" s="3">
        <f t="shared" si="126"/>
        <v>2.0733333333333333E-3</v>
      </c>
      <c r="I106">
        <v>1305000</v>
      </c>
      <c r="J106" s="3">
        <f t="shared" si="121"/>
        <v>2.1082390953150241E-3</v>
      </c>
      <c r="K106">
        <v>54500</v>
      </c>
      <c r="L106" s="3">
        <f t="shared" si="122"/>
        <v>2.3799126637554587E-3</v>
      </c>
      <c r="M106">
        <v>25900</v>
      </c>
      <c r="N106" s="3">
        <f t="shared" si="123"/>
        <v>4.0186190845616756E-3</v>
      </c>
      <c r="O106">
        <v>25000</v>
      </c>
      <c r="P106" s="3">
        <f t="shared" si="124"/>
        <v>1.1061946902654867E-2</v>
      </c>
      <c r="Q106">
        <v>900</v>
      </c>
      <c r="R106" s="3">
        <f t="shared" si="86"/>
        <v>1.6363636363636363E-4</v>
      </c>
      <c r="S106">
        <v>50</v>
      </c>
      <c r="T106" s="3">
        <f t="shared" si="87"/>
        <v>3.6331928498764716E-3</v>
      </c>
      <c r="U106">
        <v>0</v>
      </c>
      <c r="V106" s="3">
        <f t="shared" si="125"/>
        <v>0</v>
      </c>
      <c r="W106">
        <v>13</v>
      </c>
      <c r="X106" s="3">
        <f t="shared" si="88"/>
        <v>4.66786355475763E-3</v>
      </c>
      <c r="Y106">
        <v>17</v>
      </c>
      <c r="Z106" s="3">
        <f t="shared" si="89"/>
        <v>2.9621885345879075E-3</v>
      </c>
      <c r="AA106">
        <v>11</v>
      </c>
      <c r="AB106" s="3">
        <f t="shared" si="90"/>
        <v>3.885552808194984E-3</v>
      </c>
      <c r="AC106">
        <v>10</v>
      </c>
      <c r="AD106" s="3">
        <f t="shared" si="91"/>
        <v>1.6488046166529267E-3</v>
      </c>
      <c r="AE106">
        <v>0</v>
      </c>
      <c r="AF106" s="3">
        <f t="shared" si="92"/>
        <v>0</v>
      </c>
      <c r="AG106">
        <v>79</v>
      </c>
      <c r="AH106" s="3">
        <f t="shared" si="93"/>
        <v>3.9077958053027302E-3</v>
      </c>
      <c r="AI106">
        <v>434</v>
      </c>
      <c r="AJ106" s="3">
        <f t="shared" si="94"/>
        <v>1.0569382884418685E-2</v>
      </c>
      <c r="AK106">
        <v>6</v>
      </c>
      <c r="AL106" s="3">
        <f t="shared" si="95"/>
        <v>1.0046885465505692E-3</v>
      </c>
      <c r="AM106">
        <v>64</v>
      </c>
      <c r="AN106" s="3">
        <f t="shared" si="96"/>
        <v>8.6323172376584836E-3</v>
      </c>
      <c r="AO106">
        <v>0</v>
      </c>
      <c r="AP106" s="3">
        <f t="shared" si="97"/>
        <v>0</v>
      </c>
      <c r="AQ106">
        <v>20</v>
      </c>
      <c r="AR106" s="3">
        <f t="shared" si="98"/>
        <v>2.0682523267838676E-2</v>
      </c>
      <c r="AS106">
        <v>0</v>
      </c>
      <c r="AT106" s="3">
        <f t="shared" si="99"/>
        <v>0</v>
      </c>
      <c r="AU106">
        <v>2</v>
      </c>
      <c r="AV106" s="3">
        <f t="shared" si="100"/>
        <v>3.9215686274509803E-2</v>
      </c>
      <c r="AW106">
        <v>0</v>
      </c>
      <c r="AX106" s="3">
        <f t="shared" si="101"/>
        <v>0</v>
      </c>
      <c r="AY106">
        <v>0</v>
      </c>
      <c r="AZ106" s="3">
        <f t="shared" si="102"/>
        <v>0</v>
      </c>
      <c r="BA106">
        <v>0</v>
      </c>
      <c r="BB106" s="3">
        <f t="shared" si="103"/>
        <v>0</v>
      </c>
      <c r="BC106">
        <v>3</v>
      </c>
      <c r="BD106" s="3">
        <f t="shared" si="104"/>
        <v>6.8493150684931503E-3</v>
      </c>
      <c r="BE106">
        <v>3</v>
      </c>
      <c r="BF106" s="3">
        <f t="shared" si="105"/>
        <v>6.5217391304347824E-2</v>
      </c>
      <c r="BG106">
        <v>100</v>
      </c>
      <c r="BH106" s="3">
        <f t="shared" si="106"/>
        <v>9.8911968348170128E-6</v>
      </c>
      <c r="BI106">
        <v>49200</v>
      </c>
      <c r="BJ106" s="3">
        <f t="shared" si="107"/>
        <v>2.5894736842105265E-3</v>
      </c>
      <c r="BK106">
        <v>0</v>
      </c>
      <c r="BL106" s="3">
        <f t="shared" si="108"/>
        <v>0</v>
      </c>
      <c r="BM106">
        <v>1736000</v>
      </c>
      <c r="BN106" s="3">
        <f t="shared" si="109"/>
        <v>2.1541134135748853E-3</v>
      </c>
      <c r="BO106">
        <v>16</v>
      </c>
      <c r="BP106" s="3">
        <f t="shared" si="110"/>
        <v>2.4949321690316546E-3</v>
      </c>
      <c r="BQ106">
        <v>1</v>
      </c>
      <c r="BR106" s="3">
        <f t="shared" si="111"/>
        <v>4.1666666666666664E-2</v>
      </c>
      <c r="BS106">
        <v>77732</v>
      </c>
      <c r="BT106" s="3">
        <f t="shared" si="112"/>
        <v>1.1801518535331528E-2</v>
      </c>
      <c r="BU106">
        <v>1641</v>
      </c>
      <c r="BV106" s="3">
        <f t="shared" si="113"/>
        <v>7.300081853446742E-3</v>
      </c>
      <c r="BW106">
        <v>133</v>
      </c>
      <c r="BX106" s="3">
        <f t="shared" si="114"/>
        <v>9.8423740102123874E-3</v>
      </c>
      <c r="BY106">
        <v>490</v>
      </c>
      <c r="BZ106" s="3">
        <f t="shared" si="115"/>
        <v>8.3361687648860156E-4</v>
      </c>
      <c r="CA106" s="1">
        <v>21300</v>
      </c>
      <c r="CB106">
        <v>14850</v>
      </c>
      <c r="CC106" s="3">
        <f t="shared" si="116"/>
        <v>4.8027166882276843E-3</v>
      </c>
      <c r="CD106">
        <v>73930</v>
      </c>
      <c r="CE106" s="3">
        <f t="shared" si="117"/>
        <v>3.4757874941231783E-3</v>
      </c>
      <c r="CF106" s="2">
        <v>176215</v>
      </c>
      <c r="CG106" s="3">
        <f t="shared" si="118"/>
        <v>0.98969396970752899</v>
      </c>
      <c r="CH106" s="2">
        <v>660</v>
      </c>
      <c r="CI106" s="3">
        <f t="shared" si="119"/>
        <v>0.99673396674584325</v>
      </c>
      <c r="CJ106" s="2">
        <v>1591</v>
      </c>
      <c r="CK106" s="3">
        <f t="shared" si="120"/>
        <v>0.92915349334283293</v>
      </c>
      <c r="CL106" s="1">
        <v>1600</v>
      </c>
    </row>
    <row r="107" spans="1:90" x14ac:dyDescent="0.3">
      <c r="A107" t="s">
        <v>256</v>
      </c>
      <c r="B107" t="s">
        <v>257</v>
      </c>
      <c r="C107">
        <v>105</v>
      </c>
      <c r="D107" s="9">
        <f t="shared" si="128"/>
        <v>95</v>
      </c>
      <c r="E107" s="9">
        <f t="shared" si="85"/>
        <v>3.2137376773782775</v>
      </c>
      <c r="F107" s="1">
        <v>6862812</v>
      </c>
      <c r="G107">
        <v>3360000</v>
      </c>
      <c r="H107" s="3">
        <f t="shared" si="126"/>
        <v>4.4799999999999996E-3</v>
      </c>
      <c r="I107">
        <v>2845000</v>
      </c>
      <c r="J107" s="3">
        <f t="shared" si="121"/>
        <v>4.5961227786752825E-3</v>
      </c>
      <c r="K107">
        <v>146000</v>
      </c>
      <c r="L107" s="3">
        <f t="shared" si="122"/>
        <v>6.3755458515283841E-3</v>
      </c>
      <c r="M107">
        <v>183200</v>
      </c>
      <c r="N107" s="3">
        <f t="shared" si="123"/>
        <v>2.8425135764158262E-2</v>
      </c>
      <c r="O107">
        <v>10700</v>
      </c>
      <c r="P107" s="3">
        <f t="shared" si="124"/>
        <v>4.7345132743362829E-3</v>
      </c>
      <c r="Q107">
        <v>172500</v>
      </c>
      <c r="R107" s="3">
        <f t="shared" si="86"/>
        <v>3.1363636363636364E-2</v>
      </c>
      <c r="S107">
        <v>31</v>
      </c>
      <c r="T107" s="3">
        <f t="shared" si="87"/>
        <v>2.2525795669234125E-3</v>
      </c>
      <c r="U107">
        <v>0</v>
      </c>
      <c r="V107" s="3">
        <f t="shared" si="125"/>
        <v>0</v>
      </c>
      <c r="W107">
        <v>0</v>
      </c>
      <c r="X107" s="3">
        <f t="shared" si="88"/>
        <v>0</v>
      </c>
      <c r="Y107">
        <v>38</v>
      </c>
      <c r="Z107" s="3">
        <f t="shared" si="89"/>
        <v>6.6213626067259104E-3</v>
      </c>
      <c r="AA107">
        <v>15</v>
      </c>
      <c r="AB107" s="3">
        <f t="shared" si="90"/>
        <v>5.2984811020840693E-3</v>
      </c>
      <c r="AC107">
        <v>10</v>
      </c>
      <c r="AD107" s="3">
        <f t="shared" si="91"/>
        <v>1.6488046166529267E-3</v>
      </c>
      <c r="AE107">
        <v>0</v>
      </c>
      <c r="AF107" s="3">
        <f t="shared" si="92"/>
        <v>0</v>
      </c>
      <c r="AG107">
        <v>9</v>
      </c>
      <c r="AH107" s="3">
        <f t="shared" si="93"/>
        <v>4.4519192718638702E-4</v>
      </c>
      <c r="AI107">
        <v>63</v>
      </c>
      <c r="AJ107" s="3">
        <f t="shared" si="94"/>
        <v>1.5342652574156155E-3</v>
      </c>
      <c r="AK107">
        <v>0</v>
      </c>
      <c r="AL107" s="3">
        <f t="shared" si="95"/>
        <v>0</v>
      </c>
      <c r="AM107">
        <v>50</v>
      </c>
      <c r="AN107" s="3">
        <f t="shared" si="96"/>
        <v>6.743997841920691E-3</v>
      </c>
      <c r="AO107">
        <v>0</v>
      </c>
      <c r="AP107" s="3">
        <f t="shared" si="97"/>
        <v>0</v>
      </c>
      <c r="AQ107">
        <v>40</v>
      </c>
      <c r="AR107" s="3">
        <f t="shared" si="98"/>
        <v>4.1365046535677352E-2</v>
      </c>
      <c r="AS107">
        <v>0</v>
      </c>
      <c r="AT107" s="3">
        <f t="shared" si="99"/>
        <v>0</v>
      </c>
      <c r="AU107">
        <v>0</v>
      </c>
      <c r="AV107" s="3">
        <f t="shared" si="100"/>
        <v>0</v>
      </c>
      <c r="AW107">
        <v>0</v>
      </c>
      <c r="AX107" s="3">
        <f t="shared" si="101"/>
        <v>0</v>
      </c>
      <c r="AY107">
        <v>0</v>
      </c>
      <c r="AZ107" s="3">
        <f t="shared" si="102"/>
        <v>0</v>
      </c>
      <c r="BA107">
        <v>0</v>
      </c>
      <c r="BB107" s="3">
        <f t="shared" si="103"/>
        <v>0</v>
      </c>
      <c r="BC107">
        <v>24</v>
      </c>
      <c r="BD107" s="3">
        <f t="shared" si="104"/>
        <v>5.4794520547945202E-2</v>
      </c>
      <c r="BE107">
        <v>0</v>
      </c>
      <c r="BF107" s="3">
        <f t="shared" si="105"/>
        <v>0</v>
      </c>
      <c r="BG107">
        <v>0</v>
      </c>
      <c r="BH107" s="3">
        <f t="shared" si="106"/>
        <v>0</v>
      </c>
      <c r="BI107">
        <v>27200</v>
      </c>
      <c r="BJ107" s="3">
        <f t="shared" si="107"/>
        <v>1.4315789473684211E-3</v>
      </c>
      <c r="BK107">
        <v>0</v>
      </c>
      <c r="BL107" s="3">
        <f t="shared" si="108"/>
        <v>0</v>
      </c>
      <c r="BM107">
        <v>3291000</v>
      </c>
      <c r="BN107" s="3">
        <f t="shared" si="109"/>
        <v>4.0836332051122966E-3</v>
      </c>
      <c r="BO107">
        <v>19</v>
      </c>
      <c r="BP107" s="3">
        <f t="shared" si="110"/>
        <v>2.9627319507250895E-3</v>
      </c>
      <c r="BQ107">
        <v>4</v>
      </c>
      <c r="BR107" s="3">
        <f t="shared" si="111"/>
        <v>0.16666666666666666</v>
      </c>
      <c r="BS107">
        <v>29500</v>
      </c>
      <c r="BT107" s="3">
        <f t="shared" si="112"/>
        <v>4.4787834713152898E-3</v>
      </c>
      <c r="BU107">
        <v>36</v>
      </c>
      <c r="BV107" s="3">
        <f t="shared" si="113"/>
        <v>1.6014804797323748E-4</v>
      </c>
      <c r="BW107">
        <v>799</v>
      </c>
      <c r="BX107" s="3">
        <f t="shared" si="114"/>
        <v>5.9128246873381189E-2</v>
      </c>
      <c r="BY107">
        <v>145</v>
      </c>
      <c r="BZ107" s="3">
        <f t="shared" si="115"/>
        <v>2.4668254508336171E-4</v>
      </c>
      <c r="CA107" s="1">
        <v>15420</v>
      </c>
      <c r="CB107">
        <v>6059</v>
      </c>
      <c r="CC107" s="3">
        <f t="shared" si="116"/>
        <v>1.9595730918499353E-3</v>
      </c>
      <c r="CD107">
        <v>64120</v>
      </c>
      <c r="CE107" s="3">
        <f t="shared" si="117"/>
        <v>3.0145745181006114E-3</v>
      </c>
      <c r="CF107" s="2">
        <v>406752</v>
      </c>
      <c r="CG107" s="3">
        <f t="shared" si="118"/>
        <v>0.97621088764564212</v>
      </c>
      <c r="CH107" s="2">
        <v>0</v>
      </c>
      <c r="CI107" s="3">
        <f t="shared" si="119"/>
        <v>1</v>
      </c>
      <c r="CJ107" s="2">
        <v>4655</v>
      </c>
      <c r="CK107" s="3">
        <f t="shared" si="120"/>
        <v>0.79271496638019323</v>
      </c>
      <c r="CL107" s="1">
        <v>3100</v>
      </c>
    </row>
    <row r="108" spans="1:90" x14ac:dyDescent="0.3">
      <c r="A108" t="s">
        <v>258</v>
      </c>
      <c r="B108" t="s">
        <v>259</v>
      </c>
      <c r="C108">
        <v>106</v>
      </c>
      <c r="D108" s="9">
        <f t="shared" si="128"/>
        <v>87</v>
      </c>
      <c r="E108" s="9">
        <f t="shared" si="85"/>
        <v>3.3004448620102655</v>
      </c>
      <c r="F108" s="1">
        <v>8893259</v>
      </c>
      <c r="G108">
        <v>4100000</v>
      </c>
      <c r="H108" s="3">
        <f t="shared" si="126"/>
        <v>5.4666666666666665E-3</v>
      </c>
      <c r="I108">
        <v>3066000</v>
      </c>
      <c r="J108" s="3">
        <f t="shared" si="121"/>
        <v>4.9531502423263325E-3</v>
      </c>
      <c r="K108">
        <v>190000</v>
      </c>
      <c r="L108" s="3">
        <f t="shared" si="122"/>
        <v>8.296943231441048E-3</v>
      </c>
      <c r="M108">
        <v>76000</v>
      </c>
      <c r="N108" s="3">
        <f t="shared" si="123"/>
        <v>1.1792086889061288E-2</v>
      </c>
      <c r="O108">
        <v>12000</v>
      </c>
      <c r="P108" s="3">
        <f t="shared" si="124"/>
        <v>5.3097345132743362E-3</v>
      </c>
      <c r="Q108">
        <v>64000</v>
      </c>
      <c r="R108" s="3">
        <f t="shared" si="86"/>
        <v>1.1636363636363636E-2</v>
      </c>
      <c r="S108">
        <v>35</v>
      </c>
      <c r="T108" s="3">
        <f t="shared" si="87"/>
        <v>2.5432349949135302E-3</v>
      </c>
      <c r="U108">
        <v>3</v>
      </c>
      <c r="V108" s="3">
        <f t="shared" si="125"/>
        <v>1.3066202090592336E-3</v>
      </c>
      <c r="W108">
        <v>12</v>
      </c>
      <c r="X108" s="3">
        <f t="shared" si="88"/>
        <v>4.3087971274685813E-3</v>
      </c>
      <c r="Y108">
        <v>17</v>
      </c>
      <c r="Z108" s="3">
        <f t="shared" si="89"/>
        <v>2.9621885345879075E-3</v>
      </c>
      <c r="AA108">
        <v>4</v>
      </c>
      <c r="AB108" s="3">
        <f t="shared" si="90"/>
        <v>1.4129282938890851E-3</v>
      </c>
      <c r="AC108">
        <v>9</v>
      </c>
      <c r="AD108" s="3">
        <f t="shared" si="91"/>
        <v>1.483924154987634E-3</v>
      </c>
      <c r="AE108">
        <v>0</v>
      </c>
      <c r="AF108" s="3">
        <f t="shared" si="92"/>
        <v>0</v>
      </c>
      <c r="AG108">
        <v>19</v>
      </c>
      <c r="AH108" s="3">
        <f t="shared" si="93"/>
        <v>9.3984962406015032E-4</v>
      </c>
      <c r="AI108">
        <v>122</v>
      </c>
      <c r="AJ108" s="3">
        <f t="shared" si="94"/>
        <v>2.9711168476937314E-3</v>
      </c>
      <c r="AK108">
        <v>0</v>
      </c>
      <c r="AL108" s="3">
        <f t="shared" si="95"/>
        <v>0</v>
      </c>
      <c r="AM108">
        <v>56</v>
      </c>
      <c r="AN108" s="3">
        <f t="shared" si="96"/>
        <v>7.5532775829511732E-3</v>
      </c>
      <c r="AO108">
        <v>0</v>
      </c>
      <c r="AP108" s="3">
        <f t="shared" si="97"/>
        <v>0</v>
      </c>
      <c r="AQ108">
        <v>59</v>
      </c>
      <c r="AR108" s="3">
        <f t="shared" si="98"/>
        <v>6.1013443640124093E-2</v>
      </c>
      <c r="AS108">
        <v>0</v>
      </c>
      <c r="AT108" s="3">
        <f t="shared" si="99"/>
        <v>0</v>
      </c>
      <c r="AU108">
        <v>0</v>
      </c>
      <c r="AV108" s="3">
        <f t="shared" si="100"/>
        <v>0</v>
      </c>
      <c r="AW108">
        <v>0</v>
      </c>
      <c r="AX108" s="3">
        <f t="shared" si="101"/>
        <v>0</v>
      </c>
      <c r="AY108">
        <v>0</v>
      </c>
      <c r="AZ108" s="3">
        <f t="shared" si="102"/>
        <v>0</v>
      </c>
      <c r="BA108">
        <v>0</v>
      </c>
      <c r="BB108" s="3">
        <f t="shared" si="103"/>
        <v>0</v>
      </c>
      <c r="BC108">
        <v>20</v>
      </c>
      <c r="BD108" s="3">
        <f t="shared" si="104"/>
        <v>4.5662100456621002E-2</v>
      </c>
      <c r="BE108">
        <v>0</v>
      </c>
      <c r="BF108" s="3">
        <f t="shared" si="105"/>
        <v>0</v>
      </c>
      <c r="BG108">
        <v>100</v>
      </c>
      <c r="BH108" s="3">
        <f t="shared" si="106"/>
        <v>9.8911968348170128E-6</v>
      </c>
      <c r="BI108">
        <v>58200</v>
      </c>
      <c r="BJ108" s="3">
        <f t="shared" si="107"/>
        <v>3.0631578947368423E-3</v>
      </c>
      <c r="BK108">
        <v>0</v>
      </c>
      <c r="BL108" s="3">
        <f t="shared" si="108"/>
        <v>0</v>
      </c>
      <c r="BM108">
        <v>3625000</v>
      </c>
      <c r="BN108" s="3">
        <f t="shared" si="109"/>
        <v>4.4980766844521652E-3</v>
      </c>
      <c r="BO108">
        <v>88</v>
      </c>
      <c r="BP108" s="3">
        <f t="shared" si="110"/>
        <v>1.3722126929674099E-2</v>
      </c>
      <c r="BQ108">
        <v>4</v>
      </c>
      <c r="BR108" s="3">
        <f t="shared" si="111"/>
        <v>0.16666666666666666</v>
      </c>
      <c r="BS108">
        <v>14742</v>
      </c>
      <c r="BT108" s="3">
        <f t="shared" si="112"/>
        <v>2.2381771503094915E-3</v>
      </c>
      <c r="BU108">
        <v>44</v>
      </c>
      <c r="BV108" s="3">
        <f t="shared" si="113"/>
        <v>1.9573650307840138E-4</v>
      </c>
      <c r="BW108">
        <v>103</v>
      </c>
      <c r="BX108" s="3">
        <f t="shared" si="114"/>
        <v>7.6222896470065863E-3</v>
      </c>
      <c r="BY108">
        <v>205</v>
      </c>
      <c r="BZ108" s="3">
        <f t="shared" si="115"/>
        <v>3.4875808097992514E-4</v>
      </c>
      <c r="CA108" s="1">
        <v>8042</v>
      </c>
      <c r="CB108">
        <v>3846</v>
      </c>
      <c r="CC108" s="3">
        <f t="shared" si="116"/>
        <v>1.2438551099611902E-3</v>
      </c>
      <c r="CD108">
        <v>43190</v>
      </c>
      <c r="CE108" s="3">
        <f t="shared" si="117"/>
        <v>2.0305594734367654E-3</v>
      </c>
      <c r="CF108" s="2">
        <v>112090</v>
      </c>
      <c r="CG108" s="3">
        <f t="shared" si="118"/>
        <v>0.99344435527348363</v>
      </c>
      <c r="CH108" s="2">
        <v>832</v>
      </c>
      <c r="CI108" s="3">
        <f t="shared" si="119"/>
        <v>0.99588281868566908</v>
      </c>
      <c r="CJ108" s="2">
        <v>1575</v>
      </c>
      <c r="CK108" s="3">
        <f t="shared" si="120"/>
        <v>0.92986596606848648</v>
      </c>
      <c r="CL108" s="1">
        <v>465</v>
      </c>
    </row>
    <row r="109" spans="1:90" x14ac:dyDescent="0.3">
      <c r="A109" t="s">
        <v>260</v>
      </c>
      <c r="B109" t="s">
        <v>261</v>
      </c>
      <c r="C109">
        <v>107</v>
      </c>
      <c r="D109" s="9">
        <f t="shared" si="128"/>
        <v>129</v>
      </c>
      <c r="E109" s="9">
        <f t="shared" si="85"/>
        <v>2.8180399034845638</v>
      </c>
      <c r="F109" s="1">
        <v>2209208</v>
      </c>
      <c r="G109">
        <v>948157</v>
      </c>
      <c r="H109" s="3">
        <f t="shared" si="126"/>
        <v>1.2642093333333332E-3</v>
      </c>
      <c r="I109">
        <v>565101</v>
      </c>
      <c r="J109" s="3">
        <f t="shared" si="121"/>
        <v>9.1292568659127622E-4</v>
      </c>
      <c r="K109">
        <v>22208</v>
      </c>
      <c r="L109" s="3">
        <f t="shared" si="122"/>
        <v>9.697816593886463E-4</v>
      </c>
      <c r="M109">
        <v>9000</v>
      </c>
      <c r="N109" s="3">
        <f t="shared" si="123"/>
        <v>1.3964313421256788E-3</v>
      </c>
      <c r="O109">
        <v>9000</v>
      </c>
      <c r="P109" s="3">
        <f t="shared" si="124"/>
        <v>3.9823008849557522E-3</v>
      </c>
      <c r="Q109">
        <v>0</v>
      </c>
      <c r="R109" s="3">
        <f t="shared" si="86"/>
        <v>0</v>
      </c>
      <c r="S109">
        <v>43</v>
      </c>
      <c r="T109" s="3">
        <f t="shared" si="87"/>
        <v>3.1245458508937654E-3</v>
      </c>
      <c r="U109">
        <v>10</v>
      </c>
      <c r="V109" s="3">
        <f t="shared" si="125"/>
        <v>4.3554006968641113E-3</v>
      </c>
      <c r="W109">
        <v>10</v>
      </c>
      <c r="X109" s="3">
        <f t="shared" si="88"/>
        <v>3.5906642728904849E-3</v>
      </c>
      <c r="Y109">
        <v>9</v>
      </c>
      <c r="Z109" s="3">
        <f t="shared" si="89"/>
        <v>1.5682174594877157E-3</v>
      </c>
      <c r="AA109">
        <v>8</v>
      </c>
      <c r="AB109" s="3">
        <f t="shared" si="90"/>
        <v>2.8258565877781702E-3</v>
      </c>
      <c r="AC109">
        <v>16</v>
      </c>
      <c r="AD109" s="3">
        <f t="shared" si="91"/>
        <v>2.6380873866446827E-3</v>
      </c>
      <c r="AE109">
        <v>0</v>
      </c>
      <c r="AF109" s="3">
        <f t="shared" si="92"/>
        <v>0</v>
      </c>
      <c r="AG109">
        <v>0</v>
      </c>
      <c r="AH109" s="3">
        <f t="shared" si="93"/>
        <v>0</v>
      </c>
      <c r="AI109">
        <v>30</v>
      </c>
      <c r="AJ109" s="3">
        <f t="shared" si="94"/>
        <v>7.3060250353124546E-4</v>
      </c>
      <c r="AK109">
        <v>0</v>
      </c>
      <c r="AL109" s="3">
        <f t="shared" si="95"/>
        <v>0</v>
      </c>
      <c r="AM109">
        <v>20</v>
      </c>
      <c r="AN109" s="3">
        <f t="shared" si="96"/>
        <v>2.6975991367682761E-3</v>
      </c>
      <c r="AO109">
        <v>0</v>
      </c>
      <c r="AP109" s="3">
        <f t="shared" si="97"/>
        <v>0</v>
      </c>
      <c r="AQ109">
        <v>0</v>
      </c>
      <c r="AR109" s="3">
        <f t="shared" si="98"/>
        <v>0</v>
      </c>
      <c r="AS109">
        <v>0</v>
      </c>
      <c r="AT109" s="3">
        <f t="shared" si="99"/>
        <v>0</v>
      </c>
      <c r="AU109">
        <v>0</v>
      </c>
      <c r="AV109" s="3">
        <f t="shared" si="100"/>
        <v>0</v>
      </c>
      <c r="AW109">
        <v>0</v>
      </c>
      <c r="AX109" s="3">
        <f t="shared" si="101"/>
        <v>0</v>
      </c>
      <c r="AY109">
        <v>0</v>
      </c>
      <c r="AZ109" s="3">
        <f t="shared" si="102"/>
        <v>0</v>
      </c>
      <c r="BA109">
        <v>0</v>
      </c>
      <c r="BB109" s="3">
        <f t="shared" si="103"/>
        <v>0</v>
      </c>
      <c r="BC109">
        <v>0</v>
      </c>
      <c r="BD109" s="3">
        <f t="shared" si="104"/>
        <v>0</v>
      </c>
      <c r="BE109">
        <v>0</v>
      </c>
      <c r="BF109" s="3">
        <f t="shared" si="105"/>
        <v>0</v>
      </c>
      <c r="BG109">
        <v>0</v>
      </c>
      <c r="BH109" s="3">
        <f t="shared" si="106"/>
        <v>0</v>
      </c>
      <c r="BI109">
        <v>18000</v>
      </c>
      <c r="BJ109" s="3">
        <f t="shared" si="107"/>
        <v>9.4736842105263154E-4</v>
      </c>
      <c r="BK109">
        <v>0</v>
      </c>
      <c r="BL109" s="3">
        <f t="shared" si="108"/>
        <v>0</v>
      </c>
      <c r="BM109">
        <v>1177000</v>
      </c>
      <c r="BN109" s="3">
        <f t="shared" si="109"/>
        <v>1.4604789676138479E-3</v>
      </c>
      <c r="BO109">
        <v>0</v>
      </c>
      <c r="BP109" s="3">
        <f t="shared" si="110"/>
        <v>0</v>
      </c>
      <c r="BQ109">
        <v>0</v>
      </c>
      <c r="BR109" s="3">
        <f t="shared" si="111"/>
        <v>0</v>
      </c>
      <c r="BS109">
        <v>17916</v>
      </c>
      <c r="BT109" s="3">
        <f t="shared" si="112"/>
        <v>2.7200638871893129E-3</v>
      </c>
      <c r="BU109">
        <v>0</v>
      </c>
      <c r="BV109" s="3">
        <f t="shared" si="113"/>
        <v>0</v>
      </c>
      <c r="BW109">
        <v>74</v>
      </c>
      <c r="BX109" s="3">
        <f t="shared" si="114"/>
        <v>5.4762080959076444E-3</v>
      </c>
      <c r="BY109">
        <v>470</v>
      </c>
      <c r="BZ109" s="3">
        <f t="shared" si="115"/>
        <v>7.9959169785641371E-4</v>
      </c>
      <c r="CA109" s="1">
        <v>2386</v>
      </c>
      <c r="CB109">
        <v>7682</v>
      </c>
      <c r="CC109" s="3">
        <f t="shared" si="116"/>
        <v>2.4844760672703753E-3</v>
      </c>
      <c r="CD109">
        <v>35900</v>
      </c>
      <c r="CE109" s="3">
        <f t="shared" si="117"/>
        <v>1.6878232251998119E-3</v>
      </c>
      <c r="CF109" s="2">
        <v>581730</v>
      </c>
      <c r="CG109" s="3">
        <f t="shared" si="118"/>
        <v>0.96597720397219788</v>
      </c>
      <c r="CH109" s="2">
        <v>0</v>
      </c>
      <c r="CI109" s="3">
        <f t="shared" si="119"/>
        <v>1</v>
      </c>
      <c r="CJ109" s="2">
        <v>4347</v>
      </c>
      <c r="CK109" s="3">
        <f t="shared" si="120"/>
        <v>0.80643006634902259</v>
      </c>
      <c r="CL109" s="1" t="s">
        <v>77</v>
      </c>
    </row>
    <row r="110" spans="1:90" x14ac:dyDescent="0.3">
      <c r="A110" t="s">
        <v>262</v>
      </c>
      <c r="B110" t="s">
        <v>263</v>
      </c>
      <c r="C110">
        <v>108</v>
      </c>
      <c r="D110" s="9">
        <f t="shared" si="128"/>
        <v>124</v>
      </c>
      <c r="E110" s="9">
        <f t="shared" si="85"/>
        <v>2.9217522484103746</v>
      </c>
      <c r="F110" s="1">
        <v>5727553</v>
      </c>
      <c r="G110">
        <v>3000000</v>
      </c>
      <c r="H110" s="3">
        <f t="shared" si="126"/>
        <v>4.0000000000000001E-3</v>
      </c>
      <c r="I110">
        <v>2377000</v>
      </c>
      <c r="J110" s="3">
        <f t="shared" si="121"/>
        <v>3.8400646203554118E-3</v>
      </c>
      <c r="K110">
        <v>111000</v>
      </c>
      <c r="L110" s="3">
        <f t="shared" si="122"/>
        <v>4.847161572052402E-3</v>
      </c>
      <c r="M110">
        <v>23700</v>
      </c>
      <c r="N110" s="3">
        <f t="shared" si="123"/>
        <v>3.6772692009309541E-3</v>
      </c>
      <c r="O110">
        <v>13700</v>
      </c>
      <c r="P110" s="3">
        <f t="shared" si="124"/>
        <v>6.061946902654867E-3</v>
      </c>
      <c r="Q110">
        <v>10000</v>
      </c>
      <c r="R110" s="3">
        <f t="shared" si="86"/>
        <v>1.8181818181818182E-3</v>
      </c>
      <c r="S110">
        <v>6</v>
      </c>
      <c r="T110" s="3">
        <f t="shared" si="87"/>
        <v>4.3598314198517658E-4</v>
      </c>
      <c r="U110">
        <v>0</v>
      </c>
      <c r="V110" s="3">
        <f t="shared" si="125"/>
        <v>0</v>
      </c>
      <c r="W110">
        <v>0</v>
      </c>
      <c r="X110" s="3">
        <f t="shared" si="88"/>
        <v>0</v>
      </c>
      <c r="Y110">
        <v>4</v>
      </c>
      <c r="Z110" s="3">
        <f t="shared" si="89"/>
        <v>6.9698553755009581E-4</v>
      </c>
      <c r="AA110">
        <v>0</v>
      </c>
      <c r="AB110" s="3">
        <f t="shared" si="90"/>
        <v>0</v>
      </c>
      <c r="AC110">
        <v>6</v>
      </c>
      <c r="AD110" s="3">
        <f t="shared" si="91"/>
        <v>9.8928276999175608E-4</v>
      </c>
      <c r="AE110">
        <v>2</v>
      </c>
      <c r="AF110" s="3">
        <f t="shared" si="92"/>
        <v>2.1119324181626186E-3</v>
      </c>
      <c r="AG110">
        <v>150</v>
      </c>
      <c r="AH110" s="3">
        <f t="shared" si="93"/>
        <v>7.4198654531064502E-3</v>
      </c>
      <c r="AI110">
        <v>438</v>
      </c>
      <c r="AJ110" s="3">
        <f t="shared" si="94"/>
        <v>1.0666796551556184E-2</v>
      </c>
      <c r="AK110">
        <v>30</v>
      </c>
      <c r="AL110" s="3">
        <f t="shared" si="95"/>
        <v>5.0234427327528466E-3</v>
      </c>
      <c r="AM110">
        <v>159</v>
      </c>
      <c r="AN110" s="3">
        <f t="shared" si="96"/>
        <v>2.1445913137307798E-2</v>
      </c>
      <c r="AO110">
        <v>21</v>
      </c>
      <c r="AP110" s="3">
        <f t="shared" si="97"/>
        <v>5.5365146322172423E-3</v>
      </c>
      <c r="AQ110">
        <v>0</v>
      </c>
      <c r="AR110" s="3">
        <f t="shared" si="98"/>
        <v>0</v>
      </c>
      <c r="AS110">
        <v>0</v>
      </c>
      <c r="AT110" s="3">
        <f t="shared" si="99"/>
        <v>0</v>
      </c>
      <c r="AU110">
        <v>0</v>
      </c>
      <c r="AV110" s="3">
        <f t="shared" si="100"/>
        <v>0</v>
      </c>
      <c r="AW110">
        <v>0</v>
      </c>
      <c r="AX110" s="3">
        <f t="shared" si="101"/>
        <v>0</v>
      </c>
      <c r="AY110">
        <v>0</v>
      </c>
      <c r="AZ110" s="3">
        <f t="shared" si="102"/>
        <v>0</v>
      </c>
      <c r="BA110">
        <v>0</v>
      </c>
      <c r="BB110" s="3">
        <f t="shared" si="103"/>
        <v>0</v>
      </c>
      <c r="BC110">
        <v>0</v>
      </c>
      <c r="BD110" s="3">
        <f t="shared" si="104"/>
        <v>0</v>
      </c>
      <c r="BE110">
        <v>0</v>
      </c>
      <c r="BF110" s="3">
        <f t="shared" si="105"/>
        <v>0</v>
      </c>
      <c r="BG110">
        <v>1000</v>
      </c>
      <c r="BH110" s="3">
        <f t="shared" si="106"/>
        <v>9.8911968348170125E-5</v>
      </c>
      <c r="BI110">
        <v>35100</v>
      </c>
      <c r="BJ110" s="3">
        <f t="shared" si="107"/>
        <v>1.8473684210526316E-3</v>
      </c>
      <c r="BK110">
        <v>40000000</v>
      </c>
      <c r="BL110" s="3">
        <f t="shared" si="108"/>
        <v>1.3333333333333334E-4</v>
      </c>
      <c r="BM110">
        <v>2778000</v>
      </c>
      <c r="BN110" s="3">
        <f t="shared" si="109"/>
        <v>3.4470778012160317E-3</v>
      </c>
      <c r="BO110">
        <v>0</v>
      </c>
      <c r="BP110" s="3">
        <f t="shared" si="110"/>
        <v>0</v>
      </c>
      <c r="BQ110">
        <v>1</v>
      </c>
      <c r="BR110" s="3">
        <f t="shared" si="111"/>
        <v>4.1666666666666664E-2</v>
      </c>
      <c r="BS110">
        <v>34000</v>
      </c>
      <c r="BT110" s="3">
        <f t="shared" si="112"/>
        <v>5.1619877296515205E-3</v>
      </c>
      <c r="BU110">
        <v>470</v>
      </c>
      <c r="BV110" s="3">
        <f t="shared" si="113"/>
        <v>2.0908217374283784E-3</v>
      </c>
      <c r="BW110">
        <v>28</v>
      </c>
      <c r="BX110" s="3">
        <f t="shared" si="114"/>
        <v>2.0720787389920817E-3</v>
      </c>
      <c r="BY110">
        <v>240</v>
      </c>
      <c r="BZ110" s="3">
        <f t="shared" si="115"/>
        <v>4.0830214358625382E-4</v>
      </c>
      <c r="CA110" s="1">
        <v>7728</v>
      </c>
      <c r="CB110">
        <v>1838</v>
      </c>
      <c r="CC110" s="3">
        <f t="shared" si="116"/>
        <v>5.9443725743855112E-4</v>
      </c>
      <c r="CD110">
        <v>21010</v>
      </c>
      <c r="CE110" s="3">
        <f t="shared" si="117"/>
        <v>9.8777621062529379E-4</v>
      </c>
      <c r="CF110" s="2">
        <v>199951</v>
      </c>
      <c r="CG110" s="3">
        <f t="shared" si="118"/>
        <v>0.98830575681406307</v>
      </c>
      <c r="CH110" s="2">
        <v>0</v>
      </c>
      <c r="CI110" s="3">
        <f t="shared" si="119"/>
        <v>1</v>
      </c>
      <c r="CJ110" s="2">
        <v>4573</v>
      </c>
      <c r="CK110" s="3">
        <f t="shared" si="120"/>
        <v>0.79636638909916724</v>
      </c>
      <c r="CL110" s="1">
        <v>600</v>
      </c>
    </row>
    <row r="111" spans="1:90" x14ac:dyDescent="0.3">
      <c r="A111" t="s">
        <v>264</v>
      </c>
      <c r="B111" t="s">
        <v>265</v>
      </c>
      <c r="C111">
        <v>109</v>
      </c>
      <c r="D111" s="9">
        <f t="shared" si="128"/>
        <v>119</v>
      </c>
      <c r="E111" s="9">
        <f t="shared" si="85"/>
        <v>3.0155195072188796</v>
      </c>
      <c r="F111" s="1">
        <v>25930150</v>
      </c>
      <c r="G111">
        <v>4600000</v>
      </c>
      <c r="H111" s="3">
        <f t="shared" si="126"/>
        <v>6.1333333333333335E-3</v>
      </c>
      <c r="I111">
        <v>5620000</v>
      </c>
      <c r="J111" s="3">
        <f t="shared" si="121"/>
        <v>9.0791599353796451E-3</v>
      </c>
      <c r="K111">
        <v>555000</v>
      </c>
      <c r="L111" s="3">
        <f t="shared" si="122"/>
        <v>2.4235807860262009E-2</v>
      </c>
      <c r="M111">
        <v>11200</v>
      </c>
      <c r="N111" s="3">
        <f t="shared" si="123"/>
        <v>1.7377812257564002E-3</v>
      </c>
      <c r="O111">
        <v>11200</v>
      </c>
      <c r="P111" s="3">
        <f t="shared" si="124"/>
        <v>4.9557522123893803E-3</v>
      </c>
      <c r="Q111">
        <v>0</v>
      </c>
      <c r="R111" s="3">
        <f t="shared" si="86"/>
        <v>0</v>
      </c>
      <c r="S111">
        <v>15</v>
      </c>
      <c r="T111" s="3">
        <f t="shared" si="87"/>
        <v>1.0899578549629415E-3</v>
      </c>
      <c r="U111">
        <v>8</v>
      </c>
      <c r="V111" s="3">
        <f t="shared" si="125"/>
        <v>3.4843205574912892E-3</v>
      </c>
      <c r="W111">
        <v>8</v>
      </c>
      <c r="X111" s="3">
        <f t="shared" si="88"/>
        <v>2.872531418312388E-3</v>
      </c>
      <c r="Y111">
        <v>3</v>
      </c>
      <c r="Z111" s="3">
        <f t="shared" si="89"/>
        <v>5.2273915316257186E-4</v>
      </c>
      <c r="AA111">
        <v>1</v>
      </c>
      <c r="AB111" s="3">
        <f t="shared" si="90"/>
        <v>3.5323207347227127E-4</v>
      </c>
      <c r="AC111">
        <v>5</v>
      </c>
      <c r="AD111" s="3">
        <f t="shared" si="91"/>
        <v>8.2440230832646333E-4</v>
      </c>
      <c r="AE111">
        <v>2</v>
      </c>
      <c r="AF111" s="3">
        <f t="shared" si="92"/>
        <v>2.1119324181626186E-3</v>
      </c>
      <c r="AG111">
        <v>96</v>
      </c>
      <c r="AH111" s="3">
        <f t="shared" si="93"/>
        <v>4.7487138899881282E-3</v>
      </c>
      <c r="AI111">
        <v>335</v>
      </c>
      <c r="AJ111" s="3">
        <f t="shared" si="94"/>
        <v>8.1583946227655746E-3</v>
      </c>
      <c r="AK111">
        <v>0</v>
      </c>
      <c r="AL111" s="3">
        <f t="shared" si="95"/>
        <v>0</v>
      </c>
      <c r="AM111">
        <v>100</v>
      </c>
      <c r="AN111" s="3">
        <f t="shared" si="96"/>
        <v>1.3487995683841382E-2</v>
      </c>
      <c r="AO111">
        <v>12</v>
      </c>
      <c r="AP111" s="3">
        <f t="shared" si="97"/>
        <v>3.1637226469812814E-3</v>
      </c>
      <c r="AQ111">
        <v>8</v>
      </c>
      <c r="AR111" s="3">
        <f t="shared" si="98"/>
        <v>8.2730093071354711E-3</v>
      </c>
      <c r="AS111">
        <v>0</v>
      </c>
      <c r="AT111" s="3">
        <f t="shared" si="99"/>
        <v>0</v>
      </c>
      <c r="AU111">
        <v>0</v>
      </c>
      <c r="AV111" s="3">
        <f t="shared" si="100"/>
        <v>0</v>
      </c>
      <c r="AW111">
        <v>0</v>
      </c>
      <c r="AX111" s="3">
        <f t="shared" si="101"/>
        <v>0</v>
      </c>
      <c r="AY111">
        <v>0</v>
      </c>
      <c r="AZ111" s="3">
        <f t="shared" si="102"/>
        <v>0</v>
      </c>
      <c r="BA111">
        <v>0</v>
      </c>
      <c r="BB111" s="3">
        <f t="shared" si="103"/>
        <v>0</v>
      </c>
      <c r="BC111">
        <v>6</v>
      </c>
      <c r="BD111" s="3">
        <f t="shared" si="104"/>
        <v>1.3698630136986301E-2</v>
      </c>
      <c r="BE111">
        <v>0</v>
      </c>
      <c r="BF111" s="3">
        <f t="shared" si="105"/>
        <v>0</v>
      </c>
      <c r="BG111">
        <v>0</v>
      </c>
      <c r="BH111" s="3">
        <f t="shared" si="106"/>
        <v>0</v>
      </c>
      <c r="BI111">
        <v>24000</v>
      </c>
      <c r="BJ111" s="3">
        <f t="shared" si="107"/>
        <v>1.2631578947368421E-3</v>
      </c>
      <c r="BK111">
        <v>0</v>
      </c>
      <c r="BL111" s="3">
        <f t="shared" si="108"/>
        <v>0</v>
      </c>
      <c r="BM111">
        <v>13310000</v>
      </c>
      <c r="BN111" s="3">
        <f t="shared" si="109"/>
        <v>1.6515696736567814E-2</v>
      </c>
      <c r="BO111">
        <v>2</v>
      </c>
      <c r="BP111" s="3">
        <f t="shared" si="110"/>
        <v>3.1186652112895683E-4</v>
      </c>
      <c r="BQ111">
        <v>3</v>
      </c>
      <c r="BR111" s="3">
        <f t="shared" si="111"/>
        <v>0.125</v>
      </c>
      <c r="BS111">
        <v>30331</v>
      </c>
      <c r="BT111" s="3">
        <f t="shared" si="112"/>
        <v>4.6049485243547135E-3</v>
      </c>
      <c r="BU111">
        <v>4787</v>
      </c>
      <c r="BV111" s="3">
        <f t="shared" si="113"/>
        <v>2.1295241823552441E-2</v>
      </c>
      <c r="BW111">
        <v>98</v>
      </c>
      <c r="BX111" s="3">
        <f t="shared" si="114"/>
        <v>7.2522755864722855E-3</v>
      </c>
      <c r="BY111">
        <v>86</v>
      </c>
      <c r="BZ111" s="3">
        <f t="shared" si="115"/>
        <v>1.4630826811840763E-4</v>
      </c>
      <c r="CA111" s="1">
        <v>9554</v>
      </c>
      <c r="CB111">
        <v>1541</v>
      </c>
      <c r="CC111" s="3">
        <f t="shared" si="116"/>
        <v>4.9838292367399744E-4</v>
      </c>
      <c r="CD111">
        <v>35310</v>
      </c>
      <c r="CE111" s="3">
        <f t="shared" si="117"/>
        <v>1.6600846262341325E-3</v>
      </c>
      <c r="CF111" s="2">
        <v>799380</v>
      </c>
      <c r="CG111" s="3">
        <f t="shared" si="118"/>
        <v>0.95324782512728501</v>
      </c>
      <c r="CH111" s="2">
        <v>2470</v>
      </c>
      <c r="CI111" s="3">
        <f t="shared" si="119"/>
        <v>0.98777711797307999</v>
      </c>
      <c r="CJ111" s="2">
        <v>4783</v>
      </c>
      <c r="CK111" s="3">
        <f t="shared" si="120"/>
        <v>0.78701518457496555</v>
      </c>
      <c r="CL111" s="1">
        <v>460</v>
      </c>
    </row>
    <row r="112" spans="1:90" x14ac:dyDescent="0.3">
      <c r="A112" t="s">
        <v>266</v>
      </c>
      <c r="B112" t="s">
        <v>267</v>
      </c>
      <c r="C112">
        <v>110</v>
      </c>
      <c r="D112" s="9">
        <f t="shared" si="128"/>
        <v>81</v>
      </c>
      <c r="E112" s="9">
        <f t="shared" si="85"/>
        <v>3.3301567921845079</v>
      </c>
      <c r="F112" s="1">
        <v>1258545</v>
      </c>
      <c r="G112">
        <v>600000</v>
      </c>
      <c r="H112" s="3">
        <f t="shared" si="126"/>
        <v>8.0000000000000004E-4</v>
      </c>
      <c r="I112">
        <v>465000</v>
      </c>
      <c r="J112" s="3">
        <f t="shared" si="121"/>
        <v>7.5121163166397417E-4</v>
      </c>
      <c r="K112">
        <v>13000</v>
      </c>
      <c r="L112" s="3">
        <f t="shared" si="122"/>
        <v>5.6768558951965061E-4</v>
      </c>
      <c r="M112">
        <v>35000</v>
      </c>
      <c r="N112" s="3">
        <f t="shared" si="123"/>
        <v>5.4305663304887513E-3</v>
      </c>
      <c r="O112">
        <v>5000</v>
      </c>
      <c r="P112" s="3">
        <f t="shared" si="124"/>
        <v>2.2123893805309734E-3</v>
      </c>
      <c r="Q112">
        <v>30000</v>
      </c>
      <c r="R112" s="3">
        <f t="shared" si="86"/>
        <v>5.454545454545455E-3</v>
      </c>
      <c r="S112">
        <v>6</v>
      </c>
      <c r="T112" s="3">
        <f t="shared" si="87"/>
        <v>4.3598314198517658E-4</v>
      </c>
      <c r="U112">
        <v>0</v>
      </c>
      <c r="V112" s="3">
        <f t="shared" si="125"/>
        <v>0</v>
      </c>
      <c r="W112">
        <v>0</v>
      </c>
      <c r="X112" s="3">
        <f t="shared" si="88"/>
        <v>0</v>
      </c>
      <c r="Y112">
        <v>0</v>
      </c>
      <c r="Z112" s="3">
        <f t="shared" si="89"/>
        <v>0</v>
      </c>
      <c r="AA112">
        <v>6</v>
      </c>
      <c r="AB112" s="3">
        <f t="shared" si="90"/>
        <v>2.1193924408336277E-3</v>
      </c>
      <c r="AC112">
        <v>4</v>
      </c>
      <c r="AD112" s="3">
        <f t="shared" si="91"/>
        <v>6.5952184666117069E-4</v>
      </c>
      <c r="AE112">
        <v>0</v>
      </c>
      <c r="AF112" s="3">
        <f t="shared" si="92"/>
        <v>0</v>
      </c>
      <c r="AG112">
        <v>0</v>
      </c>
      <c r="AH112" s="3">
        <f t="shared" si="93"/>
        <v>0</v>
      </c>
      <c r="AI112">
        <v>318</v>
      </c>
      <c r="AJ112" s="3">
        <f t="shared" si="94"/>
        <v>7.7443865374312018E-3</v>
      </c>
      <c r="AK112">
        <v>0</v>
      </c>
      <c r="AL112" s="3">
        <f t="shared" si="95"/>
        <v>0</v>
      </c>
      <c r="AM112">
        <v>66</v>
      </c>
      <c r="AN112" s="3">
        <f t="shared" si="96"/>
        <v>8.9020771513353119E-3</v>
      </c>
      <c r="AO112">
        <v>0</v>
      </c>
      <c r="AP112" s="3">
        <f t="shared" si="97"/>
        <v>0</v>
      </c>
      <c r="AQ112">
        <v>6</v>
      </c>
      <c r="AR112" s="3">
        <f t="shared" si="98"/>
        <v>6.2047569803516025E-3</v>
      </c>
      <c r="AS112">
        <v>0</v>
      </c>
      <c r="AT112" s="3">
        <f t="shared" si="99"/>
        <v>0</v>
      </c>
      <c r="AU112">
        <v>0</v>
      </c>
      <c r="AV112" s="3">
        <f t="shared" si="100"/>
        <v>0</v>
      </c>
      <c r="AW112">
        <v>0</v>
      </c>
      <c r="AX112" s="3">
        <f t="shared" si="101"/>
        <v>0</v>
      </c>
      <c r="AY112">
        <v>0</v>
      </c>
      <c r="AZ112" s="3">
        <f t="shared" si="102"/>
        <v>0</v>
      </c>
      <c r="BA112">
        <v>0</v>
      </c>
      <c r="BB112" s="3">
        <f t="shared" si="103"/>
        <v>0</v>
      </c>
      <c r="BC112">
        <v>0</v>
      </c>
      <c r="BD112" s="3">
        <f t="shared" si="104"/>
        <v>0</v>
      </c>
      <c r="BE112">
        <v>3</v>
      </c>
      <c r="BF112" s="3">
        <f t="shared" si="105"/>
        <v>6.5217391304347824E-2</v>
      </c>
      <c r="BG112">
        <v>100</v>
      </c>
      <c r="BH112" s="3">
        <f t="shared" si="106"/>
        <v>9.8911968348170128E-6</v>
      </c>
      <c r="BI112">
        <v>29500</v>
      </c>
      <c r="BJ112" s="3">
        <f t="shared" si="107"/>
        <v>1.5526315789473684E-3</v>
      </c>
      <c r="BK112">
        <v>0</v>
      </c>
      <c r="BL112" s="3">
        <f t="shared" si="108"/>
        <v>0</v>
      </c>
      <c r="BM112">
        <v>651200</v>
      </c>
      <c r="BN112" s="3">
        <f t="shared" si="109"/>
        <v>8.0804069983868971E-4</v>
      </c>
      <c r="BO112">
        <v>25</v>
      </c>
      <c r="BP112" s="3">
        <f t="shared" si="110"/>
        <v>3.8983315141119601E-3</v>
      </c>
      <c r="BQ112">
        <v>6</v>
      </c>
      <c r="BR112" s="3">
        <f t="shared" si="111"/>
        <v>0.25</v>
      </c>
      <c r="BS112">
        <v>58412</v>
      </c>
      <c r="BT112" s="3">
        <f t="shared" si="112"/>
        <v>8.8682949195413117E-3</v>
      </c>
      <c r="BU112">
        <v>1196</v>
      </c>
      <c r="BV112" s="3">
        <f t="shared" si="113"/>
        <v>5.3204740382220006E-3</v>
      </c>
      <c r="BW112">
        <v>18</v>
      </c>
      <c r="BX112" s="3">
        <f t="shared" si="114"/>
        <v>1.332050617923481E-3</v>
      </c>
      <c r="BY112">
        <v>335</v>
      </c>
      <c r="BZ112" s="3">
        <f t="shared" si="115"/>
        <v>5.6992174208914592E-4</v>
      </c>
      <c r="CA112" s="1">
        <v>19050</v>
      </c>
      <c r="CB112">
        <v>475</v>
      </c>
      <c r="CC112" s="3">
        <f t="shared" si="116"/>
        <v>1.5362225097024579E-4</v>
      </c>
      <c r="CD112">
        <v>38700</v>
      </c>
      <c r="CE112" s="3">
        <f t="shared" si="117"/>
        <v>1.8194640338504936E-3</v>
      </c>
      <c r="CF112" s="2">
        <v>45228</v>
      </c>
      <c r="CG112" s="3">
        <f t="shared" si="118"/>
        <v>0.99735481577579732</v>
      </c>
      <c r="CH112" s="2">
        <v>3794</v>
      </c>
      <c r="CI112" s="3">
        <f t="shared" si="119"/>
        <v>0.98122525732383215</v>
      </c>
      <c r="CJ112" s="2">
        <v>657</v>
      </c>
      <c r="CK112" s="3">
        <f t="shared" si="120"/>
        <v>0.97074408870285434</v>
      </c>
      <c r="CL112" s="1">
        <v>335</v>
      </c>
    </row>
    <row r="113" spans="1:90" x14ac:dyDescent="0.3">
      <c r="A113" t="s">
        <v>268</v>
      </c>
      <c r="B113" t="s">
        <v>269</v>
      </c>
      <c r="C113">
        <v>111</v>
      </c>
      <c r="D113" s="9">
        <f t="shared" si="128"/>
        <v>114</v>
      </c>
      <c r="E113" s="9">
        <f t="shared" si="85"/>
        <v>3.0686497183132984</v>
      </c>
      <c r="F113" s="1">
        <v>24360803</v>
      </c>
      <c r="G113">
        <v>9300000</v>
      </c>
      <c r="H113" s="3">
        <f t="shared" si="126"/>
        <v>1.24E-2</v>
      </c>
      <c r="I113">
        <v>5515000</v>
      </c>
      <c r="J113" s="3">
        <f t="shared" si="121"/>
        <v>8.9095315024232628E-3</v>
      </c>
      <c r="K113">
        <v>430000</v>
      </c>
      <c r="L113" s="3">
        <f t="shared" si="122"/>
        <v>1.8777292576419215E-2</v>
      </c>
      <c r="M113">
        <v>25000</v>
      </c>
      <c r="N113" s="3">
        <f t="shared" si="123"/>
        <v>3.8789759503491078E-3</v>
      </c>
      <c r="O113">
        <v>15000</v>
      </c>
      <c r="P113" s="3">
        <f t="shared" si="124"/>
        <v>6.6371681415929203E-3</v>
      </c>
      <c r="Q113">
        <v>10000</v>
      </c>
      <c r="R113" s="3">
        <f t="shared" si="86"/>
        <v>1.8181818181818182E-3</v>
      </c>
      <c r="S113">
        <v>34</v>
      </c>
      <c r="T113" s="3">
        <f t="shared" si="87"/>
        <v>2.4705711379160006E-3</v>
      </c>
      <c r="U113">
        <v>0</v>
      </c>
      <c r="V113" s="3">
        <f t="shared" si="125"/>
        <v>0</v>
      </c>
      <c r="W113">
        <v>0</v>
      </c>
      <c r="X113" s="3">
        <f t="shared" si="88"/>
        <v>0</v>
      </c>
      <c r="Y113">
        <v>17</v>
      </c>
      <c r="Z113" s="3">
        <f t="shared" si="89"/>
        <v>2.9621885345879075E-3</v>
      </c>
      <c r="AA113">
        <v>12</v>
      </c>
      <c r="AB113" s="3">
        <f t="shared" si="90"/>
        <v>4.2387848816672555E-3</v>
      </c>
      <c r="AC113">
        <v>16</v>
      </c>
      <c r="AD113" s="3">
        <f t="shared" si="91"/>
        <v>2.6380873866446827E-3</v>
      </c>
      <c r="AE113">
        <v>0</v>
      </c>
      <c r="AF113" s="3">
        <f t="shared" si="92"/>
        <v>0</v>
      </c>
      <c r="AG113">
        <v>0</v>
      </c>
      <c r="AH113" s="3">
        <f t="shared" si="93"/>
        <v>0</v>
      </c>
      <c r="AI113">
        <v>100</v>
      </c>
      <c r="AJ113" s="3">
        <f t="shared" si="94"/>
        <v>2.4353416784374847E-3</v>
      </c>
      <c r="AK113">
        <v>0</v>
      </c>
      <c r="AL113" s="3">
        <f t="shared" si="95"/>
        <v>0</v>
      </c>
      <c r="AM113">
        <v>0</v>
      </c>
      <c r="AN113" s="3">
        <f t="shared" si="96"/>
        <v>0</v>
      </c>
      <c r="AO113">
        <v>0</v>
      </c>
      <c r="AP113" s="3">
        <f t="shared" si="97"/>
        <v>0</v>
      </c>
      <c r="AQ113">
        <v>64</v>
      </c>
      <c r="AR113" s="3">
        <f t="shared" si="98"/>
        <v>6.6184074457083769E-2</v>
      </c>
      <c r="AS113">
        <v>0</v>
      </c>
      <c r="AT113" s="3">
        <f t="shared" si="99"/>
        <v>0</v>
      </c>
      <c r="AU113">
        <v>0</v>
      </c>
      <c r="AV113" s="3">
        <f t="shared" si="100"/>
        <v>0</v>
      </c>
      <c r="AW113">
        <v>0</v>
      </c>
      <c r="AX113" s="3">
        <f t="shared" si="101"/>
        <v>0</v>
      </c>
      <c r="AY113">
        <v>0</v>
      </c>
      <c r="AZ113" s="3">
        <f t="shared" si="102"/>
        <v>0</v>
      </c>
      <c r="BA113">
        <v>0</v>
      </c>
      <c r="BB113" s="3">
        <f t="shared" si="103"/>
        <v>0</v>
      </c>
      <c r="BC113">
        <v>9</v>
      </c>
      <c r="BD113" s="3">
        <f t="shared" si="104"/>
        <v>2.0547945205479451E-2</v>
      </c>
      <c r="BE113">
        <v>0</v>
      </c>
      <c r="BF113" s="3">
        <f t="shared" si="105"/>
        <v>0</v>
      </c>
      <c r="BG113">
        <v>80830</v>
      </c>
      <c r="BH113" s="3">
        <f t="shared" si="106"/>
        <v>7.9950544015825915E-3</v>
      </c>
      <c r="BI113">
        <v>30000</v>
      </c>
      <c r="BJ113" s="3">
        <f t="shared" si="107"/>
        <v>1.5789473684210526E-3</v>
      </c>
      <c r="BK113">
        <v>200000000</v>
      </c>
      <c r="BL113" s="3">
        <f t="shared" si="108"/>
        <v>6.6666666666666664E-4</v>
      </c>
      <c r="BM113">
        <v>9612000</v>
      </c>
      <c r="BN113" s="3">
        <f t="shared" si="109"/>
        <v>1.1927038094056335E-2</v>
      </c>
      <c r="BO113">
        <v>0</v>
      </c>
      <c r="BP113" s="3">
        <f t="shared" si="110"/>
        <v>0</v>
      </c>
      <c r="BQ113">
        <v>3</v>
      </c>
      <c r="BR113" s="3">
        <f t="shared" si="111"/>
        <v>0.125</v>
      </c>
      <c r="BS113">
        <v>51350</v>
      </c>
      <c r="BT113" s="3">
        <f t="shared" si="112"/>
        <v>7.796119703458987E-3</v>
      </c>
      <c r="BU113">
        <v>1245</v>
      </c>
      <c r="BV113" s="3">
        <f t="shared" si="113"/>
        <v>5.5384533257411299E-3</v>
      </c>
      <c r="BW113">
        <v>33</v>
      </c>
      <c r="BX113" s="3">
        <f t="shared" si="114"/>
        <v>2.442092799526382E-3</v>
      </c>
      <c r="BY113">
        <v>370</v>
      </c>
      <c r="BZ113" s="3">
        <f t="shared" si="115"/>
        <v>6.294658046954747E-4</v>
      </c>
      <c r="CA113" s="1">
        <v>7375</v>
      </c>
      <c r="CB113">
        <v>2416</v>
      </c>
      <c r="CC113" s="3">
        <f t="shared" si="116"/>
        <v>7.8137128072445019E-4</v>
      </c>
      <c r="CD113">
        <v>77240</v>
      </c>
      <c r="CE113" s="3">
        <f t="shared" si="117"/>
        <v>3.6314057357780911E-3</v>
      </c>
      <c r="CF113" s="2">
        <v>475440</v>
      </c>
      <c r="CG113" s="3">
        <f t="shared" si="118"/>
        <v>0.97219363253836266</v>
      </c>
      <c r="CH113" s="2">
        <v>400</v>
      </c>
      <c r="CI113" s="3">
        <f t="shared" si="119"/>
        <v>0.99802058590657161</v>
      </c>
      <c r="CJ113" s="2">
        <v>5018</v>
      </c>
      <c r="CK113" s="3">
        <f t="shared" si="120"/>
        <v>0.77655074141693015</v>
      </c>
      <c r="CL113" s="1" t="s">
        <v>77</v>
      </c>
    </row>
    <row r="114" spans="1:90" x14ac:dyDescent="0.3">
      <c r="A114" t="s">
        <v>270</v>
      </c>
      <c r="B114" t="s">
        <v>271</v>
      </c>
      <c r="C114">
        <v>112</v>
      </c>
      <c r="D114" s="9">
        <f t="shared" si="128"/>
        <v>127</v>
      </c>
      <c r="E114" s="9">
        <f t="shared" si="85"/>
        <v>2.8665259912543117</v>
      </c>
      <c r="F114" s="1">
        <v>8330946</v>
      </c>
      <c r="G114">
        <v>4035000</v>
      </c>
      <c r="H114" s="3">
        <f t="shared" si="126"/>
        <v>5.3800000000000002E-3</v>
      </c>
      <c r="I114">
        <v>3200000</v>
      </c>
      <c r="J114" s="3">
        <f t="shared" si="121"/>
        <v>5.1696284329563816E-3</v>
      </c>
      <c r="K114">
        <v>152000</v>
      </c>
      <c r="L114" s="3">
        <f t="shared" si="122"/>
        <v>6.637554585152838E-3</v>
      </c>
      <c r="M114">
        <v>14900</v>
      </c>
      <c r="N114" s="3">
        <f t="shared" si="123"/>
        <v>2.3118696664080683E-3</v>
      </c>
      <c r="O114">
        <v>7400</v>
      </c>
      <c r="P114" s="3">
        <f t="shared" si="124"/>
        <v>3.2743362831858407E-3</v>
      </c>
      <c r="Q114">
        <v>7500</v>
      </c>
      <c r="R114" s="3">
        <f t="shared" si="86"/>
        <v>1.3636363636363637E-3</v>
      </c>
      <c r="S114">
        <v>25</v>
      </c>
      <c r="T114" s="3">
        <f t="shared" si="87"/>
        <v>1.8165964249382358E-3</v>
      </c>
      <c r="U114">
        <v>0</v>
      </c>
      <c r="V114" s="3">
        <f t="shared" si="125"/>
        <v>0</v>
      </c>
      <c r="W114">
        <v>0</v>
      </c>
      <c r="X114" s="3">
        <f t="shared" si="88"/>
        <v>0</v>
      </c>
      <c r="Y114">
        <v>15</v>
      </c>
      <c r="Z114" s="3">
        <f t="shared" si="89"/>
        <v>2.6136957658128594E-3</v>
      </c>
      <c r="AA114">
        <v>4</v>
      </c>
      <c r="AB114" s="3">
        <f t="shared" si="90"/>
        <v>1.4129282938890851E-3</v>
      </c>
      <c r="AC114">
        <v>20</v>
      </c>
      <c r="AD114" s="3">
        <f t="shared" si="91"/>
        <v>3.2976092333058533E-3</v>
      </c>
      <c r="AE114">
        <v>6</v>
      </c>
      <c r="AF114" s="3">
        <f t="shared" si="92"/>
        <v>6.3357972544878568E-3</v>
      </c>
      <c r="AG114">
        <v>37</v>
      </c>
      <c r="AH114" s="3">
        <f t="shared" si="93"/>
        <v>1.8302334784329245E-3</v>
      </c>
      <c r="AI114">
        <v>46</v>
      </c>
      <c r="AJ114" s="3">
        <f t="shared" si="94"/>
        <v>1.1202571720812431E-3</v>
      </c>
      <c r="AK114">
        <v>0</v>
      </c>
      <c r="AL114" s="3">
        <f t="shared" si="95"/>
        <v>0</v>
      </c>
      <c r="AM114">
        <v>10</v>
      </c>
      <c r="AN114" s="3">
        <f t="shared" si="96"/>
        <v>1.3487995683841381E-3</v>
      </c>
      <c r="AO114">
        <v>3</v>
      </c>
      <c r="AP114" s="3">
        <f t="shared" si="97"/>
        <v>7.9093066174532034E-4</v>
      </c>
      <c r="AQ114">
        <v>0</v>
      </c>
      <c r="AR114" s="3">
        <f t="shared" si="98"/>
        <v>0</v>
      </c>
      <c r="AS114">
        <v>0</v>
      </c>
      <c r="AT114" s="3">
        <f t="shared" si="99"/>
        <v>0</v>
      </c>
      <c r="AU114">
        <v>0</v>
      </c>
      <c r="AV114" s="3">
        <f t="shared" si="100"/>
        <v>0</v>
      </c>
      <c r="AW114">
        <v>0</v>
      </c>
      <c r="AX114" s="3">
        <f t="shared" si="101"/>
        <v>0</v>
      </c>
      <c r="AY114">
        <v>0</v>
      </c>
      <c r="AZ114" s="3">
        <f t="shared" si="102"/>
        <v>0</v>
      </c>
      <c r="BA114">
        <v>0</v>
      </c>
      <c r="BB114" s="3">
        <f t="shared" si="103"/>
        <v>0</v>
      </c>
      <c r="BC114">
        <v>0</v>
      </c>
      <c r="BD114" s="3">
        <f t="shared" si="104"/>
        <v>0</v>
      </c>
      <c r="BE114">
        <v>0</v>
      </c>
      <c r="BF114" s="3">
        <f t="shared" si="105"/>
        <v>0</v>
      </c>
      <c r="BG114">
        <v>200</v>
      </c>
      <c r="BH114" s="3">
        <f t="shared" si="106"/>
        <v>1.9782393669634026E-5</v>
      </c>
      <c r="BI114">
        <v>15300</v>
      </c>
      <c r="BJ114" s="3">
        <f t="shared" si="107"/>
        <v>8.0526315789473685E-4</v>
      </c>
      <c r="BK114">
        <v>12000000</v>
      </c>
      <c r="BL114" s="3">
        <f t="shared" si="108"/>
        <v>4.0000000000000003E-5</v>
      </c>
      <c r="BM114">
        <v>2209000</v>
      </c>
      <c r="BN114" s="3">
        <f t="shared" si="109"/>
        <v>2.7410348678496093E-3</v>
      </c>
      <c r="BO114">
        <v>0</v>
      </c>
      <c r="BP114" s="3">
        <f t="shared" si="110"/>
        <v>0</v>
      </c>
      <c r="BQ114">
        <v>0</v>
      </c>
      <c r="BR114" s="3">
        <f t="shared" si="111"/>
        <v>0</v>
      </c>
      <c r="BS114">
        <v>27767</v>
      </c>
      <c r="BT114" s="3">
        <f t="shared" si="112"/>
        <v>4.2156739202715817E-3</v>
      </c>
      <c r="BU114">
        <v>680</v>
      </c>
      <c r="BV114" s="3">
        <f t="shared" si="113"/>
        <v>3.0250186839389302E-3</v>
      </c>
      <c r="BW114">
        <v>24</v>
      </c>
      <c r="BX114" s="3">
        <f t="shared" si="114"/>
        <v>1.7760674905646415E-3</v>
      </c>
      <c r="BY114">
        <v>75</v>
      </c>
      <c r="BZ114" s="3">
        <f t="shared" si="115"/>
        <v>1.2759441987070431E-4</v>
      </c>
      <c r="CA114" s="1">
        <v>3976</v>
      </c>
      <c r="CB114">
        <v>416</v>
      </c>
      <c r="CC114" s="3">
        <f t="shared" si="116"/>
        <v>1.3454075032341527E-4</v>
      </c>
      <c r="CD114">
        <v>25810</v>
      </c>
      <c r="CE114" s="3">
        <f t="shared" si="117"/>
        <v>1.2134461683121769E-3</v>
      </c>
      <c r="CF114" s="2">
        <v>143100</v>
      </c>
      <c r="CG114" s="3">
        <f t="shared" si="118"/>
        <v>0.9916307185265012</v>
      </c>
      <c r="CH114" s="2">
        <v>0</v>
      </c>
      <c r="CI114" s="3">
        <f t="shared" si="119"/>
        <v>1</v>
      </c>
      <c r="CJ114" s="2">
        <v>4130</v>
      </c>
      <c r="CK114" s="3">
        <f t="shared" si="120"/>
        <v>0.81609297769069777</v>
      </c>
      <c r="CL114" s="1">
        <v>200</v>
      </c>
    </row>
    <row r="115" spans="1:90" x14ac:dyDescent="0.3">
      <c r="A115" t="s">
        <v>272</v>
      </c>
      <c r="B115" t="s">
        <v>273</v>
      </c>
      <c r="C115">
        <v>113</v>
      </c>
      <c r="D115" s="9">
        <f t="shared" si="128"/>
        <v>115</v>
      </c>
      <c r="E115" s="9">
        <f t="shared" si="85"/>
        <v>3.0585760256309813</v>
      </c>
      <c r="F115" s="1">
        <v>1978029</v>
      </c>
      <c r="G115">
        <v>942000</v>
      </c>
      <c r="H115" s="3">
        <f t="shared" si="126"/>
        <v>1.256E-3</v>
      </c>
      <c r="I115">
        <v>775000</v>
      </c>
      <c r="J115" s="3">
        <f t="shared" si="121"/>
        <v>1.2520193861066235E-3</v>
      </c>
      <c r="K115">
        <v>20000</v>
      </c>
      <c r="L115" s="3">
        <f t="shared" si="122"/>
        <v>8.7336244541484718E-4</v>
      </c>
      <c r="M115">
        <v>15500</v>
      </c>
      <c r="N115" s="3">
        <f t="shared" si="123"/>
        <v>2.404965089216447E-3</v>
      </c>
      <c r="O115">
        <v>7500</v>
      </c>
      <c r="P115" s="3">
        <f t="shared" si="124"/>
        <v>3.3185840707964601E-3</v>
      </c>
      <c r="Q115">
        <v>8000</v>
      </c>
      <c r="R115" s="3">
        <f t="shared" si="86"/>
        <v>1.4545454545454545E-3</v>
      </c>
      <c r="S115">
        <v>28</v>
      </c>
      <c r="T115" s="3">
        <f t="shared" si="87"/>
        <v>2.0345879959308239E-3</v>
      </c>
      <c r="U115">
        <v>0</v>
      </c>
      <c r="V115" s="3">
        <f t="shared" si="125"/>
        <v>0</v>
      </c>
      <c r="W115">
        <v>2</v>
      </c>
      <c r="X115" s="3">
        <f t="shared" si="88"/>
        <v>7.18132854578097E-4</v>
      </c>
      <c r="Y115">
        <v>16</v>
      </c>
      <c r="Z115" s="3">
        <f t="shared" si="89"/>
        <v>2.7879421502003832E-3</v>
      </c>
      <c r="AA115">
        <v>13</v>
      </c>
      <c r="AB115" s="3">
        <f t="shared" si="90"/>
        <v>4.5920169551395265E-3</v>
      </c>
      <c r="AC115">
        <v>16</v>
      </c>
      <c r="AD115" s="3">
        <f t="shared" si="91"/>
        <v>2.6380873866446827E-3</v>
      </c>
      <c r="AE115">
        <v>0</v>
      </c>
      <c r="AF115" s="3">
        <f t="shared" si="92"/>
        <v>0</v>
      </c>
      <c r="AG115">
        <v>84</v>
      </c>
      <c r="AH115" s="3">
        <f t="shared" si="93"/>
        <v>4.1551246537396124E-3</v>
      </c>
      <c r="AI115">
        <v>247</v>
      </c>
      <c r="AJ115" s="3">
        <f t="shared" si="94"/>
        <v>6.0152939457405871E-3</v>
      </c>
      <c r="AK115">
        <v>0</v>
      </c>
      <c r="AL115" s="3">
        <f t="shared" si="95"/>
        <v>0</v>
      </c>
      <c r="AM115">
        <v>54</v>
      </c>
      <c r="AN115" s="3">
        <f t="shared" si="96"/>
        <v>7.2835176692743458E-3</v>
      </c>
      <c r="AO115">
        <v>0</v>
      </c>
      <c r="AP115" s="3">
        <f t="shared" si="97"/>
        <v>0</v>
      </c>
      <c r="AQ115">
        <v>2</v>
      </c>
      <c r="AR115" s="3">
        <f t="shared" si="98"/>
        <v>2.0682523267838678E-3</v>
      </c>
      <c r="AS115">
        <v>0</v>
      </c>
      <c r="AT115" s="3">
        <f t="shared" si="99"/>
        <v>0</v>
      </c>
      <c r="AU115">
        <v>0</v>
      </c>
      <c r="AV115" s="3">
        <f t="shared" si="100"/>
        <v>0</v>
      </c>
      <c r="AW115">
        <v>0</v>
      </c>
      <c r="AX115" s="3">
        <f t="shared" si="101"/>
        <v>0</v>
      </c>
      <c r="AY115">
        <v>0</v>
      </c>
      <c r="AZ115" s="3">
        <f t="shared" si="102"/>
        <v>0</v>
      </c>
      <c r="BA115">
        <v>0</v>
      </c>
      <c r="BB115" s="3">
        <f t="shared" si="103"/>
        <v>0</v>
      </c>
      <c r="BC115">
        <v>2</v>
      </c>
      <c r="BD115" s="3">
        <f t="shared" si="104"/>
        <v>4.5662100456621002E-3</v>
      </c>
      <c r="BE115">
        <v>0</v>
      </c>
      <c r="BF115" s="3">
        <f t="shared" si="105"/>
        <v>0</v>
      </c>
      <c r="BG115">
        <v>0</v>
      </c>
      <c r="BH115" s="3">
        <f t="shared" si="106"/>
        <v>0</v>
      </c>
      <c r="BI115">
        <v>50500</v>
      </c>
      <c r="BJ115" s="3">
        <f t="shared" si="107"/>
        <v>2.6578947368421052E-3</v>
      </c>
      <c r="BK115">
        <v>0</v>
      </c>
      <c r="BL115" s="3">
        <f t="shared" si="108"/>
        <v>0</v>
      </c>
      <c r="BM115">
        <v>918700</v>
      </c>
      <c r="BN115" s="3">
        <f t="shared" si="109"/>
        <v>1.1399677379327459E-3</v>
      </c>
      <c r="BO115">
        <v>24</v>
      </c>
      <c r="BP115" s="3">
        <f t="shared" si="110"/>
        <v>3.7423982535474817E-3</v>
      </c>
      <c r="BQ115">
        <v>1</v>
      </c>
      <c r="BR115" s="3">
        <f t="shared" si="111"/>
        <v>4.1666666666666664E-2</v>
      </c>
      <c r="BS115">
        <v>38985</v>
      </c>
      <c r="BT115" s="3">
        <f t="shared" si="112"/>
        <v>5.9188262247195445E-3</v>
      </c>
      <c r="BU115">
        <v>1228</v>
      </c>
      <c r="BV115" s="3">
        <f t="shared" si="113"/>
        <v>5.4628278586426561E-3</v>
      </c>
      <c r="BW115">
        <v>16</v>
      </c>
      <c r="BX115" s="3">
        <f t="shared" si="114"/>
        <v>1.1840449937097609E-3</v>
      </c>
      <c r="BY115">
        <v>790</v>
      </c>
      <c r="BZ115" s="3">
        <f t="shared" si="115"/>
        <v>1.3439945559714189E-3</v>
      </c>
      <c r="CA115" s="1">
        <v>51650</v>
      </c>
      <c r="CB115">
        <v>851</v>
      </c>
      <c r="CC115" s="3">
        <f t="shared" si="116"/>
        <v>2.7522639068564036E-4</v>
      </c>
      <c r="CD115">
        <v>66130</v>
      </c>
      <c r="CE115" s="3">
        <f t="shared" si="117"/>
        <v>3.1090738128819934E-3</v>
      </c>
      <c r="CF115" s="2">
        <v>20273</v>
      </c>
      <c r="CG115" s="3">
        <f t="shared" si="118"/>
        <v>0.9988143225484819</v>
      </c>
      <c r="CH115" s="2">
        <v>47</v>
      </c>
      <c r="CI115" s="3">
        <f t="shared" si="119"/>
        <v>0.9997674188440222</v>
      </c>
      <c r="CJ115" s="2">
        <v>1211</v>
      </c>
      <c r="CK115" s="3">
        <f t="shared" si="120"/>
        <v>0.94607472057710296</v>
      </c>
      <c r="CL115" s="1" t="s">
        <v>77</v>
      </c>
    </row>
    <row r="116" spans="1:90" x14ac:dyDescent="0.3">
      <c r="A116" t="s">
        <v>274</v>
      </c>
      <c r="B116" t="s">
        <v>275</v>
      </c>
      <c r="C116">
        <v>114</v>
      </c>
      <c r="D116" s="9">
        <f t="shared" si="128"/>
        <v>132</v>
      </c>
      <c r="E116" s="9">
        <f t="shared" si="85"/>
        <v>2.7331402161724272</v>
      </c>
      <c r="F116" s="1">
        <v>18638600</v>
      </c>
      <c r="G116">
        <v>6600000</v>
      </c>
      <c r="H116" s="3">
        <f t="shared" si="126"/>
        <v>8.8000000000000005E-3</v>
      </c>
      <c r="I116">
        <v>4415000</v>
      </c>
      <c r="J116" s="3">
        <f t="shared" si="121"/>
        <v>7.1324717285945072E-3</v>
      </c>
      <c r="K116">
        <v>370000</v>
      </c>
      <c r="L116" s="3">
        <f t="shared" si="122"/>
        <v>1.6157205240174673E-2</v>
      </c>
      <c r="M116">
        <v>11000</v>
      </c>
      <c r="N116" s="3">
        <f t="shared" si="123"/>
        <v>1.7067494181536075E-3</v>
      </c>
      <c r="O116">
        <v>5500</v>
      </c>
      <c r="P116" s="3">
        <f t="shared" si="124"/>
        <v>2.4336283185840708E-3</v>
      </c>
      <c r="Q116">
        <v>5500</v>
      </c>
      <c r="R116" s="3">
        <f t="shared" si="86"/>
        <v>1E-3</v>
      </c>
      <c r="S116">
        <v>17</v>
      </c>
      <c r="T116" s="3">
        <f t="shared" si="87"/>
        <v>1.2352855689580003E-3</v>
      </c>
      <c r="U116">
        <v>0</v>
      </c>
      <c r="V116" s="3">
        <f t="shared" si="125"/>
        <v>0</v>
      </c>
      <c r="W116">
        <v>2</v>
      </c>
      <c r="X116" s="3">
        <f t="shared" si="88"/>
        <v>7.18132854578097E-4</v>
      </c>
      <c r="Y116">
        <v>10</v>
      </c>
      <c r="Z116" s="3">
        <f t="shared" si="89"/>
        <v>1.7424638438752395E-3</v>
      </c>
      <c r="AA116">
        <v>0</v>
      </c>
      <c r="AB116" s="3">
        <f t="shared" si="90"/>
        <v>0</v>
      </c>
      <c r="AC116">
        <v>7</v>
      </c>
      <c r="AD116" s="3">
        <f t="shared" si="91"/>
        <v>1.1541632316570487E-3</v>
      </c>
      <c r="AE116">
        <v>1</v>
      </c>
      <c r="AF116" s="3">
        <f t="shared" si="92"/>
        <v>1.0559662090813093E-3</v>
      </c>
      <c r="AG116">
        <v>0</v>
      </c>
      <c r="AH116" s="3">
        <f t="shared" si="93"/>
        <v>0</v>
      </c>
      <c r="AI116">
        <v>157</v>
      </c>
      <c r="AJ116" s="3">
        <f t="shared" si="94"/>
        <v>3.8234864351468509E-3</v>
      </c>
      <c r="AK116">
        <v>0</v>
      </c>
      <c r="AL116" s="3">
        <f t="shared" si="95"/>
        <v>0</v>
      </c>
      <c r="AM116">
        <v>0</v>
      </c>
      <c r="AN116" s="3">
        <f t="shared" si="96"/>
        <v>0</v>
      </c>
      <c r="AO116">
        <v>0</v>
      </c>
      <c r="AP116" s="3">
        <f t="shared" si="97"/>
        <v>0</v>
      </c>
      <c r="AQ116">
        <v>0</v>
      </c>
      <c r="AR116" s="3">
        <f t="shared" si="98"/>
        <v>0</v>
      </c>
      <c r="AS116">
        <v>0</v>
      </c>
      <c r="AT116" s="3">
        <f t="shared" si="99"/>
        <v>0</v>
      </c>
      <c r="AU116">
        <v>0</v>
      </c>
      <c r="AV116" s="3">
        <f t="shared" si="100"/>
        <v>0</v>
      </c>
      <c r="AW116">
        <v>0</v>
      </c>
      <c r="AX116" s="3">
        <f t="shared" si="101"/>
        <v>0</v>
      </c>
      <c r="AY116">
        <v>0</v>
      </c>
      <c r="AZ116" s="3">
        <f t="shared" si="102"/>
        <v>0</v>
      </c>
      <c r="BA116">
        <v>0</v>
      </c>
      <c r="BB116" s="3">
        <f t="shared" si="103"/>
        <v>0</v>
      </c>
      <c r="BC116">
        <v>0</v>
      </c>
      <c r="BD116" s="3">
        <f t="shared" si="104"/>
        <v>0</v>
      </c>
      <c r="BE116">
        <v>0</v>
      </c>
      <c r="BF116" s="3">
        <f t="shared" si="105"/>
        <v>0</v>
      </c>
      <c r="BG116">
        <v>20000</v>
      </c>
      <c r="BH116" s="3">
        <f t="shared" si="106"/>
        <v>1.9782393669634025E-3</v>
      </c>
      <c r="BI116">
        <v>57700</v>
      </c>
      <c r="BJ116" s="3">
        <f t="shared" si="107"/>
        <v>3.0368421052631581E-3</v>
      </c>
      <c r="BK116">
        <v>150000000</v>
      </c>
      <c r="BL116" s="3">
        <f t="shared" si="108"/>
        <v>5.0000000000000001E-4</v>
      </c>
      <c r="BM116">
        <v>6500000</v>
      </c>
      <c r="BN116" s="3">
        <f t="shared" si="109"/>
        <v>8.0655168135004337E-3</v>
      </c>
      <c r="BO116">
        <v>0</v>
      </c>
      <c r="BP116" s="3">
        <f t="shared" si="110"/>
        <v>0</v>
      </c>
      <c r="BQ116">
        <v>0</v>
      </c>
      <c r="BR116" s="3">
        <f t="shared" si="111"/>
        <v>0</v>
      </c>
      <c r="BS116">
        <v>18949</v>
      </c>
      <c r="BT116" s="3">
        <f t="shared" si="112"/>
        <v>2.8768972202696075E-3</v>
      </c>
      <c r="BU116">
        <v>0</v>
      </c>
      <c r="BV116" s="3">
        <f t="shared" si="113"/>
        <v>0</v>
      </c>
      <c r="BW116">
        <v>30</v>
      </c>
      <c r="BX116" s="3">
        <f t="shared" si="114"/>
        <v>2.220084363205802E-3</v>
      </c>
      <c r="BY116">
        <v>85</v>
      </c>
      <c r="BZ116" s="3">
        <f t="shared" si="115"/>
        <v>1.4460700918679823E-4</v>
      </c>
      <c r="CA116" s="1">
        <v>2729</v>
      </c>
      <c r="CB116">
        <v>903</v>
      </c>
      <c r="CC116" s="3">
        <f t="shared" si="116"/>
        <v>2.9204398447606726E-4</v>
      </c>
      <c r="CD116">
        <v>20270</v>
      </c>
      <c r="CE116" s="3">
        <f t="shared" si="117"/>
        <v>9.5298542548189944E-4</v>
      </c>
      <c r="CF116" s="2">
        <v>1267000</v>
      </c>
      <c r="CG116" s="3">
        <f t="shared" si="118"/>
        <v>0.92589881462667334</v>
      </c>
      <c r="CH116" s="2">
        <v>0</v>
      </c>
      <c r="CI116" s="3">
        <f t="shared" si="119"/>
        <v>1</v>
      </c>
      <c r="CJ116" s="2">
        <v>5834</v>
      </c>
      <c r="CK116" s="3">
        <f t="shared" si="120"/>
        <v>0.74021463240860319</v>
      </c>
      <c r="CL116" s="1">
        <v>300</v>
      </c>
    </row>
    <row r="117" spans="1:90" x14ac:dyDescent="0.3">
      <c r="A117" t="s">
        <v>276</v>
      </c>
      <c r="B117" t="s">
        <v>277</v>
      </c>
      <c r="C117">
        <v>115</v>
      </c>
      <c r="D117" s="9">
        <f t="shared" si="128"/>
        <v>93</v>
      </c>
      <c r="E117" s="9">
        <f t="shared" si="85"/>
        <v>3.2296038359868695</v>
      </c>
      <c r="F117" s="1">
        <v>5966798</v>
      </c>
      <c r="G117">
        <v>3005000</v>
      </c>
      <c r="H117" s="3">
        <f t="shared" si="126"/>
        <v>4.0066666666666671E-3</v>
      </c>
      <c r="I117">
        <v>2565000</v>
      </c>
      <c r="J117" s="3">
        <f t="shared" si="121"/>
        <v>4.1437802907915997E-3</v>
      </c>
      <c r="K117">
        <v>140000</v>
      </c>
      <c r="L117" s="3">
        <f t="shared" si="122"/>
        <v>6.1135371179039302E-3</v>
      </c>
      <c r="M117">
        <v>13000</v>
      </c>
      <c r="N117" s="3">
        <f t="shared" si="123"/>
        <v>2.017067494181536E-3</v>
      </c>
      <c r="O117">
        <v>13000</v>
      </c>
      <c r="P117" s="3">
        <f t="shared" si="124"/>
        <v>5.7522123893805309E-3</v>
      </c>
      <c r="Q117">
        <v>0</v>
      </c>
      <c r="R117" s="3">
        <f t="shared" si="86"/>
        <v>0</v>
      </c>
      <c r="S117">
        <v>19</v>
      </c>
      <c r="T117" s="3">
        <f t="shared" si="87"/>
        <v>1.3806132829530591E-3</v>
      </c>
      <c r="U117">
        <v>0</v>
      </c>
      <c r="V117" s="3">
        <f t="shared" si="125"/>
        <v>0</v>
      </c>
      <c r="W117">
        <v>0</v>
      </c>
      <c r="X117" s="3">
        <f t="shared" si="88"/>
        <v>0</v>
      </c>
      <c r="Y117">
        <v>20</v>
      </c>
      <c r="Z117" s="3">
        <f t="shared" si="89"/>
        <v>3.484927687750479E-3</v>
      </c>
      <c r="AA117">
        <v>1</v>
      </c>
      <c r="AB117" s="3">
        <f t="shared" si="90"/>
        <v>3.5323207347227127E-4</v>
      </c>
      <c r="AC117">
        <v>16</v>
      </c>
      <c r="AD117" s="3">
        <f t="shared" si="91"/>
        <v>2.6380873866446827E-3</v>
      </c>
      <c r="AE117">
        <v>0</v>
      </c>
      <c r="AF117" s="3">
        <f t="shared" si="92"/>
        <v>0</v>
      </c>
      <c r="AG117">
        <v>84</v>
      </c>
      <c r="AH117" s="3">
        <f t="shared" si="93"/>
        <v>4.1551246537396124E-3</v>
      </c>
      <c r="AI117">
        <v>253</v>
      </c>
      <c r="AJ117" s="3">
        <f t="shared" si="94"/>
        <v>6.1614144464468366E-3</v>
      </c>
      <c r="AK117">
        <v>0</v>
      </c>
      <c r="AL117" s="3">
        <f t="shared" si="95"/>
        <v>0</v>
      </c>
      <c r="AM117">
        <v>272</v>
      </c>
      <c r="AN117" s="3">
        <f t="shared" si="96"/>
        <v>3.6687348260048554E-2</v>
      </c>
      <c r="AO117">
        <v>163</v>
      </c>
      <c r="AP117" s="3">
        <f t="shared" si="97"/>
        <v>4.2973899288162407E-2</v>
      </c>
      <c r="AQ117">
        <v>30</v>
      </c>
      <c r="AR117" s="3">
        <f t="shared" si="98"/>
        <v>3.1023784901758014E-2</v>
      </c>
      <c r="AS117">
        <v>0</v>
      </c>
      <c r="AT117" s="3">
        <f t="shared" si="99"/>
        <v>0</v>
      </c>
      <c r="AU117">
        <v>0</v>
      </c>
      <c r="AV117" s="3">
        <f t="shared" si="100"/>
        <v>0</v>
      </c>
      <c r="AW117">
        <v>0</v>
      </c>
      <c r="AX117" s="3">
        <f t="shared" si="101"/>
        <v>0</v>
      </c>
      <c r="AY117">
        <v>0</v>
      </c>
      <c r="AZ117" s="3">
        <f t="shared" si="102"/>
        <v>0</v>
      </c>
      <c r="BA117">
        <v>0</v>
      </c>
      <c r="BB117" s="3">
        <f t="shared" si="103"/>
        <v>0</v>
      </c>
      <c r="BC117">
        <v>18</v>
      </c>
      <c r="BD117" s="3">
        <f t="shared" si="104"/>
        <v>4.1095890410958902E-2</v>
      </c>
      <c r="BE117">
        <v>0</v>
      </c>
      <c r="BF117" s="3">
        <f t="shared" si="105"/>
        <v>0</v>
      </c>
      <c r="BG117">
        <v>0</v>
      </c>
      <c r="BH117" s="3">
        <f t="shared" si="106"/>
        <v>0</v>
      </c>
      <c r="BI117">
        <v>34070</v>
      </c>
      <c r="BJ117" s="3">
        <f t="shared" si="107"/>
        <v>1.7931578947368422E-3</v>
      </c>
      <c r="BK117">
        <v>0</v>
      </c>
      <c r="BL117" s="3">
        <f t="shared" si="108"/>
        <v>0</v>
      </c>
      <c r="BM117">
        <v>3013000</v>
      </c>
      <c r="BN117" s="3">
        <f t="shared" si="109"/>
        <v>3.7386772552425859E-3</v>
      </c>
      <c r="BO117">
        <v>0</v>
      </c>
      <c r="BP117" s="3">
        <f t="shared" si="110"/>
        <v>0</v>
      </c>
      <c r="BQ117">
        <v>2</v>
      </c>
      <c r="BR117" s="3">
        <f t="shared" si="111"/>
        <v>8.3333333333333329E-2</v>
      </c>
      <c r="BS117">
        <v>22111</v>
      </c>
      <c r="BT117" s="3">
        <f t="shared" si="112"/>
        <v>3.3569620791271989E-3</v>
      </c>
      <c r="BU117">
        <v>0</v>
      </c>
      <c r="BV117" s="3">
        <f t="shared" si="113"/>
        <v>0</v>
      </c>
      <c r="BW117">
        <v>147</v>
      </c>
      <c r="BX117" s="3">
        <f t="shared" si="114"/>
        <v>1.087841337970843E-2</v>
      </c>
      <c r="BY117">
        <v>44</v>
      </c>
      <c r="BZ117" s="3">
        <f t="shared" si="115"/>
        <v>7.4855392990813205E-5</v>
      </c>
      <c r="CA117" s="1">
        <v>11100</v>
      </c>
      <c r="CB117">
        <v>2442</v>
      </c>
      <c r="CC117" s="3">
        <f t="shared" si="116"/>
        <v>7.8978007761966364E-4</v>
      </c>
      <c r="CD117">
        <v>33490</v>
      </c>
      <c r="CE117" s="3">
        <f t="shared" si="117"/>
        <v>1.5745181006111895E-3</v>
      </c>
      <c r="CF117" s="2">
        <v>130370</v>
      </c>
      <c r="CG117" s="3">
        <f t="shared" si="118"/>
        <v>0.99237523951292772</v>
      </c>
      <c r="CH117" s="2">
        <v>910</v>
      </c>
      <c r="CI117" s="3">
        <f t="shared" si="119"/>
        <v>0.9954968329374505</v>
      </c>
      <c r="CJ117" s="2">
        <v>1253</v>
      </c>
      <c r="CK117" s="3">
        <f t="shared" si="120"/>
        <v>0.94420447967226251</v>
      </c>
      <c r="CL117" s="1">
        <v>2220</v>
      </c>
    </row>
    <row r="118" spans="1:90" x14ac:dyDescent="0.3">
      <c r="A118" t="s">
        <v>278</v>
      </c>
      <c r="B118" t="s">
        <v>279</v>
      </c>
      <c r="C118">
        <v>116</v>
      </c>
      <c r="D118" s="9">
        <f t="shared" si="128"/>
        <v>113</v>
      </c>
      <c r="E118" s="9">
        <f t="shared" si="85"/>
        <v>3.076458467282702</v>
      </c>
      <c r="F118" s="1">
        <v>23740424</v>
      </c>
      <c r="G118">
        <v>10300000</v>
      </c>
      <c r="H118" s="3">
        <f t="shared" si="126"/>
        <v>1.3733333333333334E-2</v>
      </c>
      <c r="I118">
        <v>6556000</v>
      </c>
      <c r="J118" s="3">
        <f t="shared" si="121"/>
        <v>1.0591276252019386E-2</v>
      </c>
      <c r="K118">
        <v>490000</v>
      </c>
      <c r="L118" s="3">
        <f t="shared" si="122"/>
        <v>2.1397379912663755E-2</v>
      </c>
      <c r="M118">
        <v>17450</v>
      </c>
      <c r="N118" s="3">
        <f t="shared" si="123"/>
        <v>2.7075252133436775E-3</v>
      </c>
      <c r="O118">
        <v>17450</v>
      </c>
      <c r="P118" s="3">
        <f t="shared" si="124"/>
        <v>7.7212389380530971E-3</v>
      </c>
      <c r="Q118">
        <v>0</v>
      </c>
      <c r="R118" s="3">
        <f t="shared" si="86"/>
        <v>0</v>
      </c>
      <c r="S118">
        <v>5</v>
      </c>
      <c r="T118" s="3">
        <f t="shared" si="87"/>
        <v>3.6331928498764716E-4</v>
      </c>
      <c r="U118">
        <v>0</v>
      </c>
      <c r="V118" s="3">
        <f t="shared" si="125"/>
        <v>0</v>
      </c>
      <c r="W118">
        <v>0</v>
      </c>
      <c r="X118" s="3">
        <f t="shared" si="88"/>
        <v>0</v>
      </c>
      <c r="Y118">
        <v>5</v>
      </c>
      <c r="Z118" s="3">
        <f t="shared" si="89"/>
        <v>8.7123192193761976E-4</v>
      </c>
      <c r="AA118">
        <v>1</v>
      </c>
      <c r="AB118" s="3">
        <f t="shared" si="90"/>
        <v>3.5323207347227127E-4</v>
      </c>
      <c r="AC118">
        <v>4</v>
      </c>
      <c r="AD118" s="3">
        <f t="shared" si="91"/>
        <v>6.5952184666117069E-4</v>
      </c>
      <c r="AE118">
        <v>0</v>
      </c>
      <c r="AF118" s="3">
        <f t="shared" si="92"/>
        <v>0</v>
      </c>
      <c r="AG118">
        <v>5</v>
      </c>
      <c r="AH118" s="3">
        <f t="shared" si="93"/>
        <v>2.4732884843688168E-4</v>
      </c>
      <c r="AI118">
        <v>85</v>
      </c>
      <c r="AJ118" s="3">
        <f t="shared" si="94"/>
        <v>2.0700404266718619E-3</v>
      </c>
      <c r="AK118">
        <v>0</v>
      </c>
      <c r="AL118" s="3">
        <f t="shared" si="95"/>
        <v>0</v>
      </c>
      <c r="AM118">
        <v>36</v>
      </c>
      <c r="AN118" s="3">
        <f t="shared" si="96"/>
        <v>4.8556784461828975E-3</v>
      </c>
      <c r="AO118">
        <v>0</v>
      </c>
      <c r="AP118" s="3">
        <f t="shared" si="97"/>
        <v>0</v>
      </c>
      <c r="AQ118">
        <v>10</v>
      </c>
      <c r="AR118" s="3">
        <f t="shared" si="98"/>
        <v>1.0341261633919338E-2</v>
      </c>
      <c r="AS118">
        <v>0</v>
      </c>
      <c r="AT118" s="3">
        <f t="shared" si="99"/>
        <v>0</v>
      </c>
      <c r="AU118">
        <v>0</v>
      </c>
      <c r="AV118" s="3">
        <f t="shared" si="100"/>
        <v>0</v>
      </c>
      <c r="AW118">
        <v>0</v>
      </c>
      <c r="AX118" s="3">
        <f t="shared" si="101"/>
        <v>0</v>
      </c>
      <c r="AY118">
        <v>0</v>
      </c>
      <c r="AZ118" s="3">
        <f t="shared" si="102"/>
        <v>0</v>
      </c>
      <c r="BA118">
        <v>0</v>
      </c>
      <c r="BB118" s="3">
        <f t="shared" si="103"/>
        <v>0</v>
      </c>
      <c r="BC118">
        <v>5</v>
      </c>
      <c r="BD118" s="3">
        <f t="shared" si="104"/>
        <v>1.1415525114155251E-2</v>
      </c>
      <c r="BE118">
        <v>0</v>
      </c>
      <c r="BF118" s="3">
        <f t="shared" si="105"/>
        <v>0</v>
      </c>
      <c r="BG118">
        <v>36000</v>
      </c>
      <c r="BH118" s="3">
        <f t="shared" si="106"/>
        <v>3.5608308605341245E-3</v>
      </c>
      <c r="BI118">
        <v>22760</v>
      </c>
      <c r="BJ118" s="3">
        <f t="shared" si="107"/>
        <v>1.1978947368421053E-3</v>
      </c>
      <c r="BK118">
        <v>100000000</v>
      </c>
      <c r="BL118" s="3">
        <f t="shared" si="108"/>
        <v>3.3333333333333332E-4</v>
      </c>
      <c r="BM118">
        <v>8543000</v>
      </c>
      <c r="BN118" s="3">
        <f t="shared" si="109"/>
        <v>1.0600570790420647E-2</v>
      </c>
      <c r="BO118">
        <v>0</v>
      </c>
      <c r="BP118" s="3">
        <f t="shared" si="110"/>
        <v>0</v>
      </c>
      <c r="BQ118">
        <v>3</v>
      </c>
      <c r="BR118" s="3">
        <f t="shared" si="111"/>
        <v>0.125</v>
      </c>
      <c r="BS118">
        <v>81996</v>
      </c>
      <c r="BT118" s="3">
        <f t="shared" si="112"/>
        <v>1.2448892525897237E-2</v>
      </c>
      <c r="BU118">
        <v>660</v>
      </c>
      <c r="BV118" s="3">
        <f t="shared" si="113"/>
        <v>2.9360475461760204E-3</v>
      </c>
      <c r="BW118">
        <v>27</v>
      </c>
      <c r="BX118" s="3">
        <f t="shared" si="114"/>
        <v>1.9980759268852216E-3</v>
      </c>
      <c r="BY118">
        <v>440</v>
      </c>
      <c r="BZ118" s="3">
        <f t="shared" si="115"/>
        <v>7.4855392990813205E-4</v>
      </c>
      <c r="CA118" s="1">
        <v>15840</v>
      </c>
      <c r="CB118">
        <v>4952</v>
      </c>
      <c r="CC118" s="3">
        <f t="shared" si="116"/>
        <v>1.6015523932729624E-3</v>
      </c>
      <c r="CD118">
        <v>87120</v>
      </c>
      <c r="CE118" s="3">
        <f t="shared" si="117"/>
        <v>4.0959097320169254E-3</v>
      </c>
      <c r="CF118" s="2">
        <v>322463</v>
      </c>
      <c r="CG118" s="3">
        <f t="shared" si="118"/>
        <v>0.98114057573872215</v>
      </c>
      <c r="CH118" s="2">
        <v>515</v>
      </c>
      <c r="CI118" s="3">
        <f t="shared" si="119"/>
        <v>0.99745150435471097</v>
      </c>
      <c r="CJ118" s="2">
        <v>3458</v>
      </c>
      <c r="CK118" s="3">
        <f t="shared" si="120"/>
        <v>0.84601683216814361</v>
      </c>
      <c r="CL118" s="1">
        <v>980</v>
      </c>
    </row>
    <row r="119" spans="1:90" x14ac:dyDescent="0.3">
      <c r="A119" t="s">
        <v>280</v>
      </c>
      <c r="B119" t="s">
        <v>281</v>
      </c>
      <c r="C119">
        <v>117</v>
      </c>
      <c r="D119" s="9">
        <f t="shared" si="128"/>
        <v>133</v>
      </c>
      <c r="E119" s="9">
        <f t="shared" si="85"/>
        <v>2.6897043863041121</v>
      </c>
      <c r="F119" s="1">
        <v>17467108</v>
      </c>
      <c r="G119">
        <v>6000000</v>
      </c>
      <c r="H119" s="3">
        <f t="shared" si="126"/>
        <v>8.0000000000000002E-3</v>
      </c>
      <c r="I119">
        <v>3795000</v>
      </c>
      <c r="J119" s="3">
        <f t="shared" si="121"/>
        <v>6.1308562197092088E-3</v>
      </c>
      <c r="K119">
        <v>320000</v>
      </c>
      <c r="L119" s="3">
        <f t="shared" si="122"/>
        <v>1.3973799126637555E-2</v>
      </c>
      <c r="M119">
        <v>15500</v>
      </c>
      <c r="N119" s="3">
        <f t="shared" si="123"/>
        <v>2.404965089216447E-3</v>
      </c>
      <c r="O119">
        <v>7500</v>
      </c>
      <c r="P119" s="3">
        <f t="shared" si="124"/>
        <v>3.3185840707964601E-3</v>
      </c>
      <c r="Q119">
        <v>8000</v>
      </c>
      <c r="R119" s="3">
        <f t="shared" si="86"/>
        <v>1.4545454545454545E-3</v>
      </c>
      <c r="S119">
        <v>14</v>
      </c>
      <c r="T119" s="3">
        <f t="shared" si="87"/>
        <v>1.017293997965412E-3</v>
      </c>
      <c r="U119">
        <v>9</v>
      </c>
      <c r="V119" s="3">
        <f t="shared" si="125"/>
        <v>3.9198606271777002E-3</v>
      </c>
      <c r="W119">
        <v>9</v>
      </c>
      <c r="X119" s="3">
        <f t="shared" si="88"/>
        <v>3.2315978456014362E-3</v>
      </c>
      <c r="Y119">
        <v>3</v>
      </c>
      <c r="Z119" s="3">
        <f t="shared" si="89"/>
        <v>5.2273915316257186E-4</v>
      </c>
      <c r="AA119">
        <v>1</v>
      </c>
      <c r="AB119" s="3">
        <f t="shared" si="90"/>
        <v>3.5323207347227127E-4</v>
      </c>
      <c r="AC119">
        <v>3</v>
      </c>
      <c r="AD119" s="3">
        <f t="shared" si="91"/>
        <v>4.9464138499587804E-4</v>
      </c>
      <c r="AE119">
        <v>3</v>
      </c>
      <c r="AF119" s="3">
        <f t="shared" si="92"/>
        <v>3.1678986272439284E-3</v>
      </c>
      <c r="AG119">
        <v>24</v>
      </c>
      <c r="AH119" s="3">
        <f t="shared" si="93"/>
        <v>1.1871784724970321E-3</v>
      </c>
      <c r="AI119">
        <v>135</v>
      </c>
      <c r="AJ119" s="3">
        <f t="shared" si="94"/>
        <v>3.2877112658906043E-3</v>
      </c>
      <c r="AK119">
        <v>0</v>
      </c>
      <c r="AL119" s="3">
        <f t="shared" si="95"/>
        <v>0</v>
      </c>
      <c r="AM119">
        <v>10</v>
      </c>
      <c r="AN119" s="3">
        <f t="shared" si="96"/>
        <v>1.3487995683841381E-3</v>
      </c>
      <c r="AO119">
        <v>0</v>
      </c>
      <c r="AP119" s="3">
        <f t="shared" si="97"/>
        <v>0</v>
      </c>
      <c r="AQ119">
        <v>0</v>
      </c>
      <c r="AR119" s="3">
        <f t="shared" si="98"/>
        <v>0</v>
      </c>
      <c r="AS119">
        <v>0</v>
      </c>
      <c r="AT119" s="3">
        <f t="shared" si="99"/>
        <v>0</v>
      </c>
      <c r="AU119">
        <v>0</v>
      </c>
      <c r="AV119" s="3">
        <f t="shared" si="100"/>
        <v>0</v>
      </c>
      <c r="AW119">
        <v>0</v>
      </c>
      <c r="AX119" s="3">
        <f t="shared" si="101"/>
        <v>0</v>
      </c>
      <c r="AY119">
        <v>0</v>
      </c>
      <c r="AZ119" s="3">
        <f t="shared" si="102"/>
        <v>0</v>
      </c>
      <c r="BA119">
        <v>0</v>
      </c>
      <c r="BB119" s="3">
        <f t="shared" si="103"/>
        <v>0</v>
      </c>
      <c r="BC119">
        <v>0</v>
      </c>
      <c r="BD119" s="3">
        <f t="shared" si="104"/>
        <v>0</v>
      </c>
      <c r="BE119">
        <v>0</v>
      </c>
      <c r="BF119" s="3">
        <f t="shared" si="105"/>
        <v>0</v>
      </c>
      <c r="BG119">
        <v>0</v>
      </c>
      <c r="BH119" s="3">
        <f t="shared" si="106"/>
        <v>0</v>
      </c>
      <c r="BI119">
        <v>5440</v>
      </c>
      <c r="BJ119" s="3">
        <f t="shared" si="107"/>
        <v>2.8631578947368422E-4</v>
      </c>
      <c r="BK119">
        <v>0</v>
      </c>
      <c r="BL119" s="3">
        <f t="shared" si="108"/>
        <v>0</v>
      </c>
      <c r="BM119">
        <v>6283000</v>
      </c>
      <c r="BN119" s="3">
        <f t="shared" si="109"/>
        <v>7.7962526368035735E-3</v>
      </c>
      <c r="BO119">
        <v>0</v>
      </c>
      <c r="BP119" s="3">
        <f t="shared" si="110"/>
        <v>0</v>
      </c>
      <c r="BQ119">
        <v>1</v>
      </c>
      <c r="BR119" s="3">
        <f t="shared" si="111"/>
        <v>4.1666666666666664E-2</v>
      </c>
      <c r="BS119">
        <v>22474</v>
      </c>
      <c r="BT119" s="3">
        <f t="shared" si="112"/>
        <v>3.412073889299655E-3</v>
      </c>
      <c r="BU119">
        <v>593</v>
      </c>
      <c r="BV119" s="3">
        <f t="shared" si="113"/>
        <v>2.6379942346702731E-3</v>
      </c>
      <c r="BW119">
        <v>25</v>
      </c>
      <c r="BX119" s="3">
        <f t="shared" si="114"/>
        <v>1.8500703026715015E-3</v>
      </c>
      <c r="BY119">
        <v>76</v>
      </c>
      <c r="BZ119" s="3">
        <f t="shared" si="115"/>
        <v>1.292956788023137E-4</v>
      </c>
      <c r="CA119" s="1">
        <v>3626</v>
      </c>
      <c r="CB119">
        <v>3074</v>
      </c>
      <c r="CC119" s="3">
        <f t="shared" si="116"/>
        <v>9.9417852522639067E-4</v>
      </c>
      <c r="CD119">
        <v>38090</v>
      </c>
      <c r="CE119" s="3">
        <f t="shared" si="117"/>
        <v>1.7907851433944524E-3</v>
      </c>
      <c r="CF119" s="2">
        <v>1240192</v>
      </c>
      <c r="CG119" s="3">
        <f t="shared" si="118"/>
        <v>0.92746669511403568</v>
      </c>
      <c r="CH119" s="2">
        <v>0</v>
      </c>
      <c r="CI119" s="3">
        <f t="shared" si="119"/>
        <v>1</v>
      </c>
      <c r="CJ119" s="2">
        <v>7908</v>
      </c>
      <c r="CK119" s="3">
        <f t="shared" si="120"/>
        <v>0.64786035534577191</v>
      </c>
      <c r="CL119" s="1">
        <v>0</v>
      </c>
    </row>
    <row r="120" spans="1:90" x14ac:dyDescent="0.3">
      <c r="A120" t="s">
        <v>282</v>
      </c>
      <c r="B120" t="s">
        <v>283</v>
      </c>
      <c r="C120">
        <v>118</v>
      </c>
      <c r="D120" s="9">
        <f t="shared" si="128"/>
        <v>110</v>
      </c>
      <c r="E120" s="9">
        <f t="shared" si="85"/>
        <v>3.0992000614319442</v>
      </c>
      <c r="F120" s="1">
        <v>4852412</v>
      </c>
      <c r="G120">
        <v>1900000</v>
      </c>
      <c r="H120" s="3">
        <f t="shared" si="126"/>
        <v>2.5333333333333332E-3</v>
      </c>
      <c r="I120">
        <v>1150000</v>
      </c>
      <c r="J120" s="3">
        <f t="shared" si="121"/>
        <v>1.8578352180936995E-3</v>
      </c>
      <c r="K120">
        <v>100000</v>
      </c>
      <c r="L120" s="3">
        <f t="shared" si="122"/>
        <v>4.3668122270742356E-3</v>
      </c>
      <c r="M120">
        <v>12000</v>
      </c>
      <c r="N120" s="3">
        <f t="shared" si="123"/>
        <v>1.8619084561675718E-3</v>
      </c>
      <c r="O120">
        <v>10000</v>
      </c>
      <c r="P120" s="3">
        <f t="shared" si="124"/>
        <v>4.4247787610619468E-3</v>
      </c>
      <c r="Q120">
        <v>2000</v>
      </c>
      <c r="R120" s="3">
        <f t="shared" si="86"/>
        <v>3.6363636363636361E-4</v>
      </c>
      <c r="S120">
        <v>15</v>
      </c>
      <c r="T120" s="3">
        <f t="shared" si="87"/>
        <v>1.0899578549629415E-3</v>
      </c>
      <c r="U120">
        <v>4</v>
      </c>
      <c r="V120" s="3">
        <f t="shared" si="125"/>
        <v>1.7421602787456446E-3</v>
      </c>
      <c r="W120">
        <v>4</v>
      </c>
      <c r="X120" s="3">
        <f t="shared" si="88"/>
        <v>1.436265709156194E-3</v>
      </c>
      <c r="Y120">
        <v>3</v>
      </c>
      <c r="Z120" s="3">
        <f t="shared" si="89"/>
        <v>5.2273915316257186E-4</v>
      </c>
      <c r="AA120">
        <v>1</v>
      </c>
      <c r="AB120" s="3">
        <f t="shared" si="90"/>
        <v>3.5323207347227127E-4</v>
      </c>
      <c r="AC120">
        <v>10</v>
      </c>
      <c r="AD120" s="3">
        <f t="shared" si="91"/>
        <v>1.6488046166529267E-3</v>
      </c>
      <c r="AE120">
        <v>3</v>
      </c>
      <c r="AF120" s="3">
        <f t="shared" si="92"/>
        <v>3.1678986272439284E-3</v>
      </c>
      <c r="AG120">
        <v>48</v>
      </c>
      <c r="AH120" s="3">
        <f t="shared" si="93"/>
        <v>2.3743569449940641E-3</v>
      </c>
      <c r="AI120">
        <v>100</v>
      </c>
      <c r="AJ120" s="3">
        <f t="shared" si="94"/>
        <v>2.4353416784374847E-3</v>
      </c>
      <c r="AK120">
        <v>0</v>
      </c>
      <c r="AL120" s="3">
        <f t="shared" si="95"/>
        <v>0</v>
      </c>
      <c r="AM120">
        <v>0</v>
      </c>
      <c r="AN120" s="3">
        <f t="shared" si="96"/>
        <v>0</v>
      </c>
      <c r="AO120">
        <v>6</v>
      </c>
      <c r="AP120" s="3">
        <f t="shared" si="97"/>
        <v>1.5818613234906407E-3</v>
      </c>
      <c r="AQ120">
        <v>6</v>
      </c>
      <c r="AR120" s="3">
        <f t="shared" si="98"/>
        <v>6.2047569803516025E-3</v>
      </c>
      <c r="AS120">
        <v>0</v>
      </c>
      <c r="AT120" s="3">
        <f t="shared" si="99"/>
        <v>0</v>
      </c>
      <c r="AU120">
        <v>0</v>
      </c>
      <c r="AV120" s="3">
        <f t="shared" si="100"/>
        <v>0</v>
      </c>
      <c r="AW120">
        <v>0</v>
      </c>
      <c r="AX120" s="3">
        <f t="shared" si="101"/>
        <v>0</v>
      </c>
      <c r="AY120">
        <v>0</v>
      </c>
      <c r="AZ120" s="3">
        <f t="shared" si="102"/>
        <v>0</v>
      </c>
      <c r="BA120">
        <v>0</v>
      </c>
      <c r="BB120" s="3">
        <f t="shared" si="103"/>
        <v>0</v>
      </c>
      <c r="BC120">
        <v>1</v>
      </c>
      <c r="BD120" s="3">
        <f t="shared" si="104"/>
        <v>2.2831050228310501E-3</v>
      </c>
      <c r="BE120">
        <v>0</v>
      </c>
      <c r="BF120" s="3">
        <f t="shared" si="105"/>
        <v>0</v>
      </c>
      <c r="BG120">
        <v>250000</v>
      </c>
      <c r="BH120" s="3">
        <f t="shared" si="106"/>
        <v>2.4727992087042534E-2</v>
      </c>
      <c r="BI120">
        <v>180000</v>
      </c>
      <c r="BJ120" s="3">
        <f t="shared" si="107"/>
        <v>9.4736842105263164E-3</v>
      </c>
      <c r="BK120">
        <v>1600000000</v>
      </c>
      <c r="BL120" s="3">
        <f t="shared" si="108"/>
        <v>5.3333333333333332E-3</v>
      </c>
      <c r="BM120">
        <v>1807000</v>
      </c>
      <c r="BN120" s="3">
        <f t="shared" si="109"/>
        <v>2.2422136741531208E-3</v>
      </c>
      <c r="BO120">
        <v>1</v>
      </c>
      <c r="BP120" s="3">
        <f t="shared" si="110"/>
        <v>1.5593326056447841E-4</v>
      </c>
      <c r="BQ120">
        <v>6</v>
      </c>
      <c r="BR120" s="3">
        <f t="shared" si="111"/>
        <v>0.25</v>
      </c>
      <c r="BS120">
        <v>17289</v>
      </c>
      <c r="BT120" s="3">
        <f t="shared" si="112"/>
        <v>2.6248707605277979E-3</v>
      </c>
      <c r="BU120">
        <v>886</v>
      </c>
      <c r="BV120" s="3">
        <f t="shared" si="113"/>
        <v>3.9414214028969004E-3</v>
      </c>
      <c r="BW120">
        <v>27</v>
      </c>
      <c r="BX120" s="3">
        <f t="shared" si="114"/>
        <v>1.9980759268852216E-3</v>
      </c>
      <c r="BY120">
        <v>135</v>
      </c>
      <c r="BZ120" s="3">
        <f t="shared" si="115"/>
        <v>2.2966995576726777E-4</v>
      </c>
      <c r="CA120" s="1">
        <v>4817</v>
      </c>
      <c r="CB120">
        <v>1989</v>
      </c>
      <c r="CC120" s="3">
        <f t="shared" si="116"/>
        <v>6.4327296248382925E-4</v>
      </c>
      <c r="CD120">
        <v>30270</v>
      </c>
      <c r="CE120" s="3">
        <f t="shared" si="117"/>
        <v>1.4231311706629055E-3</v>
      </c>
      <c r="CF120" s="2">
        <v>342000</v>
      </c>
      <c r="CG120" s="3">
        <f t="shared" si="118"/>
        <v>0.97999794364824178</v>
      </c>
      <c r="CH120" s="2">
        <v>169</v>
      </c>
      <c r="CI120" s="3">
        <f t="shared" si="119"/>
        <v>0.99916369754552647</v>
      </c>
      <c r="CJ120" s="2">
        <v>5008</v>
      </c>
      <c r="CK120" s="3">
        <f t="shared" si="120"/>
        <v>0.77699603687046359</v>
      </c>
      <c r="CL120" s="1">
        <v>1120</v>
      </c>
    </row>
    <row r="121" spans="1:90" x14ac:dyDescent="0.3">
      <c r="A121" t="s">
        <v>284</v>
      </c>
      <c r="B121" t="s">
        <v>285</v>
      </c>
      <c r="C121">
        <v>119</v>
      </c>
      <c r="D121" s="9">
        <f t="shared" si="128"/>
        <v>91</v>
      </c>
      <c r="E121" s="9">
        <f t="shared" si="85"/>
        <v>3.2338259645255443</v>
      </c>
      <c r="F121" s="1">
        <v>24430325</v>
      </c>
      <c r="G121">
        <v>9900000</v>
      </c>
      <c r="H121" s="3">
        <f t="shared" si="126"/>
        <v>1.32E-2</v>
      </c>
      <c r="I121">
        <v>7075000</v>
      </c>
      <c r="J121" s="3">
        <f t="shared" si="121"/>
        <v>1.1429725363489499E-2</v>
      </c>
      <c r="K121">
        <v>500000</v>
      </c>
      <c r="L121" s="3">
        <f t="shared" si="122"/>
        <v>2.1834061135371178E-2</v>
      </c>
      <c r="M121">
        <v>21600</v>
      </c>
      <c r="N121" s="3">
        <f t="shared" si="123"/>
        <v>3.351435221101629E-3</v>
      </c>
      <c r="O121">
        <v>13500</v>
      </c>
      <c r="P121" s="3">
        <f t="shared" si="124"/>
        <v>5.9734513274336282E-3</v>
      </c>
      <c r="Q121">
        <v>8100</v>
      </c>
      <c r="R121" s="3">
        <f t="shared" si="86"/>
        <v>1.4727272727272727E-3</v>
      </c>
      <c r="S121">
        <v>20</v>
      </c>
      <c r="T121" s="3">
        <f t="shared" si="87"/>
        <v>1.4532771399505887E-3</v>
      </c>
      <c r="U121">
        <v>0</v>
      </c>
      <c r="V121" s="3">
        <f t="shared" si="125"/>
        <v>0</v>
      </c>
      <c r="W121">
        <v>0</v>
      </c>
      <c r="X121" s="3">
        <f t="shared" si="88"/>
        <v>0</v>
      </c>
      <c r="Y121">
        <v>6</v>
      </c>
      <c r="Z121" s="3">
        <f t="shared" si="89"/>
        <v>1.0454783063251437E-3</v>
      </c>
      <c r="AA121">
        <v>2</v>
      </c>
      <c r="AB121" s="3">
        <f t="shared" si="90"/>
        <v>7.0646414694454254E-4</v>
      </c>
      <c r="AC121">
        <v>4</v>
      </c>
      <c r="AD121" s="3">
        <f t="shared" si="91"/>
        <v>6.5952184666117069E-4</v>
      </c>
      <c r="AE121">
        <v>0</v>
      </c>
      <c r="AF121" s="3">
        <f t="shared" si="92"/>
        <v>0</v>
      </c>
      <c r="AG121">
        <v>12</v>
      </c>
      <c r="AH121" s="3">
        <f t="shared" si="93"/>
        <v>5.9358923624851603E-4</v>
      </c>
      <c r="AI121">
        <v>103</v>
      </c>
      <c r="AJ121" s="3">
        <f t="shared" si="94"/>
        <v>2.5084019287906095E-3</v>
      </c>
      <c r="AK121">
        <v>0</v>
      </c>
      <c r="AL121" s="3">
        <f t="shared" si="95"/>
        <v>0</v>
      </c>
      <c r="AM121">
        <v>17</v>
      </c>
      <c r="AN121" s="3">
        <f t="shared" si="96"/>
        <v>2.2929592662530346E-3</v>
      </c>
      <c r="AO121">
        <v>0</v>
      </c>
      <c r="AP121" s="3">
        <f t="shared" si="97"/>
        <v>0</v>
      </c>
      <c r="AQ121">
        <v>8</v>
      </c>
      <c r="AR121" s="3">
        <f t="shared" si="98"/>
        <v>8.2730093071354711E-3</v>
      </c>
      <c r="AS121">
        <v>0</v>
      </c>
      <c r="AT121" s="3">
        <f t="shared" si="99"/>
        <v>0</v>
      </c>
      <c r="AU121">
        <v>0</v>
      </c>
      <c r="AV121" s="3">
        <f t="shared" si="100"/>
        <v>0</v>
      </c>
      <c r="AW121">
        <v>0</v>
      </c>
      <c r="AX121" s="3">
        <f t="shared" si="101"/>
        <v>0</v>
      </c>
      <c r="AY121">
        <v>0</v>
      </c>
      <c r="AZ121" s="3">
        <f t="shared" si="102"/>
        <v>0</v>
      </c>
      <c r="BA121">
        <v>0</v>
      </c>
      <c r="BB121" s="3">
        <f t="shared" si="103"/>
        <v>0</v>
      </c>
      <c r="BC121">
        <v>7</v>
      </c>
      <c r="BD121" s="3">
        <f t="shared" si="104"/>
        <v>1.5981735159817351E-2</v>
      </c>
      <c r="BE121">
        <v>0</v>
      </c>
      <c r="BF121" s="3">
        <f t="shared" si="105"/>
        <v>0</v>
      </c>
      <c r="BG121">
        <v>0</v>
      </c>
      <c r="BH121" s="3">
        <f t="shared" si="106"/>
        <v>0</v>
      </c>
      <c r="BI121">
        <v>20150</v>
      </c>
      <c r="BJ121" s="3">
        <f t="shared" si="107"/>
        <v>1.0605263157894738E-3</v>
      </c>
      <c r="BK121">
        <v>0</v>
      </c>
      <c r="BL121" s="3">
        <f t="shared" si="108"/>
        <v>0</v>
      </c>
      <c r="BM121">
        <v>12980000</v>
      </c>
      <c r="BN121" s="3">
        <f t="shared" si="109"/>
        <v>1.6106216652190097E-2</v>
      </c>
      <c r="BO121">
        <v>1</v>
      </c>
      <c r="BP121" s="3">
        <f t="shared" si="110"/>
        <v>1.5593326056447841E-4</v>
      </c>
      <c r="BQ121">
        <v>4</v>
      </c>
      <c r="BR121" s="3">
        <f t="shared" si="111"/>
        <v>0.16666666666666666</v>
      </c>
      <c r="BS121">
        <v>34476</v>
      </c>
      <c r="BT121" s="3">
        <f t="shared" si="112"/>
        <v>5.2342555578666419E-3</v>
      </c>
      <c r="BU121">
        <v>854</v>
      </c>
      <c r="BV121" s="3">
        <f t="shared" si="113"/>
        <v>3.7990675824762449E-3</v>
      </c>
      <c r="BW121">
        <v>83</v>
      </c>
      <c r="BX121" s="3">
        <f t="shared" si="114"/>
        <v>6.142233404869385E-3</v>
      </c>
      <c r="BY121">
        <v>56</v>
      </c>
      <c r="BZ121" s="3">
        <f t="shared" si="115"/>
        <v>9.5270500170125899E-5</v>
      </c>
      <c r="CA121" s="1">
        <v>4007</v>
      </c>
      <c r="CB121">
        <v>780</v>
      </c>
      <c r="CC121" s="3">
        <f t="shared" si="116"/>
        <v>2.5226390685640363E-4</v>
      </c>
      <c r="CD121">
        <v>37490</v>
      </c>
      <c r="CE121" s="3">
        <f t="shared" si="117"/>
        <v>1.7625763986835919E-3</v>
      </c>
      <c r="CF121" s="2">
        <v>587040</v>
      </c>
      <c r="CG121" s="3">
        <f t="shared" si="118"/>
        <v>0.96566664572884164</v>
      </c>
      <c r="CH121" s="2">
        <v>4828</v>
      </c>
      <c r="CI121" s="3">
        <f t="shared" si="119"/>
        <v>0.97610847189231986</v>
      </c>
      <c r="CJ121" s="2">
        <v>0</v>
      </c>
      <c r="CK121" s="3">
        <f t="shared" si="120"/>
        <v>1</v>
      </c>
      <c r="CL121" s="1">
        <v>600</v>
      </c>
    </row>
    <row r="122" spans="1:90" x14ac:dyDescent="0.3">
      <c r="A122" t="s">
        <v>286</v>
      </c>
      <c r="B122" t="s">
        <v>287</v>
      </c>
      <c r="C122">
        <v>120</v>
      </c>
      <c r="D122" s="9">
        <f t="shared" si="128"/>
        <v>105</v>
      </c>
      <c r="E122" s="9">
        <f t="shared" si="85"/>
        <v>3.1351031432767127</v>
      </c>
      <c r="F122" s="1">
        <v>1738541</v>
      </c>
      <c r="G122">
        <v>705000</v>
      </c>
      <c r="H122" s="3">
        <f t="shared" si="126"/>
        <v>9.3999999999999997E-4</v>
      </c>
      <c r="I122">
        <v>400000</v>
      </c>
      <c r="J122" s="3">
        <f t="shared" si="121"/>
        <v>6.462035541195477E-4</v>
      </c>
      <c r="K122">
        <v>36000</v>
      </c>
      <c r="L122" s="3">
        <f t="shared" si="122"/>
        <v>1.5720524017467249E-3</v>
      </c>
      <c r="M122">
        <v>4850</v>
      </c>
      <c r="N122" s="3">
        <f t="shared" si="123"/>
        <v>7.5252133436772689E-4</v>
      </c>
      <c r="O122">
        <v>4850</v>
      </c>
      <c r="P122" s="3">
        <f t="shared" si="124"/>
        <v>2.1460176991150441E-3</v>
      </c>
      <c r="Q122">
        <v>0</v>
      </c>
      <c r="R122" s="3">
        <f t="shared" si="86"/>
        <v>0</v>
      </c>
      <c r="S122">
        <v>33</v>
      </c>
      <c r="T122" s="3">
        <f t="shared" si="87"/>
        <v>2.3979072809184711E-3</v>
      </c>
      <c r="U122">
        <v>6</v>
      </c>
      <c r="V122" s="3">
        <f t="shared" si="125"/>
        <v>2.6132404181184671E-3</v>
      </c>
      <c r="W122">
        <v>9</v>
      </c>
      <c r="X122" s="3">
        <f t="shared" si="88"/>
        <v>3.2315978456014362E-3</v>
      </c>
      <c r="Y122">
        <v>18</v>
      </c>
      <c r="Z122" s="3">
        <f t="shared" si="89"/>
        <v>3.1364349189754314E-3</v>
      </c>
      <c r="AA122">
        <v>6</v>
      </c>
      <c r="AB122" s="3">
        <f t="shared" si="90"/>
        <v>2.1193924408336277E-3</v>
      </c>
      <c r="AC122">
        <v>16</v>
      </c>
      <c r="AD122" s="3">
        <f t="shared" si="91"/>
        <v>2.6380873866446827E-3</v>
      </c>
      <c r="AE122">
        <v>0</v>
      </c>
      <c r="AF122" s="3">
        <f t="shared" si="92"/>
        <v>0</v>
      </c>
      <c r="AG122">
        <v>0</v>
      </c>
      <c r="AH122" s="3">
        <f t="shared" si="93"/>
        <v>0</v>
      </c>
      <c r="AI122">
        <v>250</v>
      </c>
      <c r="AJ122" s="3">
        <f t="shared" si="94"/>
        <v>6.0883541960937123E-3</v>
      </c>
      <c r="AK122">
        <v>0</v>
      </c>
      <c r="AL122" s="3">
        <f t="shared" si="95"/>
        <v>0</v>
      </c>
      <c r="AM122">
        <v>30</v>
      </c>
      <c r="AN122" s="3">
        <f t="shared" si="96"/>
        <v>4.0463987051524144E-3</v>
      </c>
      <c r="AO122">
        <v>0</v>
      </c>
      <c r="AP122" s="3">
        <f t="shared" si="97"/>
        <v>0</v>
      </c>
      <c r="AQ122">
        <v>10</v>
      </c>
      <c r="AR122" s="3">
        <f t="shared" si="98"/>
        <v>1.0341261633919338E-2</v>
      </c>
      <c r="AS122">
        <v>0</v>
      </c>
      <c r="AT122" s="3">
        <f t="shared" si="99"/>
        <v>0</v>
      </c>
      <c r="AU122">
        <v>0</v>
      </c>
      <c r="AV122" s="3">
        <f t="shared" si="100"/>
        <v>0</v>
      </c>
      <c r="AW122">
        <v>0</v>
      </c>
      <c r="AX122" s="3">
        <f t="shared" si="101"/>
        <v>0</v>
      </c>
      <c r="AY122">
        <v>0</v>
      </c>
      <c r="AZ122" s="3">
        <f t="shared" si="102"/>
        <v>0</v>
      </c>
      <c r="BA122">
        <v>0</v>
      </c>
      <c r="BB122" s="3">
        <f t="shared" si="103"/>
        <v>0</v>
      </c>
      <c r="BC122">
        <v>3</v>
      </c>
      <c r="BD122" s="3">
        <f t="shared" si="104"/>
        <v>6.8493150684931503E-3</v>
      </c>
      <c r="BE122">
        <v>0</v>
      </c>
      <c r="BF122" s="3">
        <f t="shared" si="105"/>
        <v>0</v>
      </c>
      <c r="BG122">
        <v>240000</v>
      </c>
      <c r="BH122" s="3">
        <f t="shared" si="106"/>
        <v>2.3738872403560832E-2</v>
      </c>
      <c r="BI122">
        <v>20000</v>
      </c>
      <c r="BJ122" s="3">
        <f t="shared" si="107"/>
        <v>1.0526315789473684E-3</v>
      </c>
      <c r="BK122">
        <v>2000000000</v>
      </c>
      <c r="BL122" s="3">
        <f t="shared" si="108"/>
        <v>6.6666666666666671E-3</v>
      </c>
      <c r="BM122">
        <v>674700</v>
      </c>
      <c r="BN122" s="3">
        <f t="shared" si="109"/>
        <v>8.3720064524134513E-4</v>
      </c>
      <c r="BO122">
        <v>2</v>
      </c>
      <c r="BP122" s="3">
        <f t="shared" si="110"/>
        <v>3.1186652112895683E-4</v>
      </c>
      <c r="BQ122">
        <v>5</v>
      </c>
      <c r="BR122" s="3">
        <f t="shared" si="111"/>
        <v>0.20833333333333334</v>
      </c>
      <c r="BS122">
        <v>9170</v>
      </c>
      <c r="BT122" s="3">
        <f t="shared" si="112"/>
        <v>1.3922184553207188E-3</v>
      </c>
      <c r="BU122">
        <v>649</v>
      </c>
      <c r="BV122" s="3">
        <f t="shared" si="113"/>
        <v>2.8871134204064204E-3</v>
      </c>
      <c r="BW122">
        <v>44</v>
      </c>
      <c r="BX122" s="3">
        <f t="shared" si="114"/>
        <v>3.2561237327018429E-3</v>
      </c>
      <c r="BY122">
        <v>81</v>
      </c>
      <c r="BZ122" s="3">
        <f t="shared" si="115"/>
        <v>1.3780197346036066E-4</v>
      </c>
      <c r="CA122" s="1">
        <v>5158</v>
      </c>
      <c r="CB122">
        <v>1585</v>
      </c>
      <c r="CC122" s="3">
        <f t="shared" si="116"/>
        <v>5.1261319534282013E-4</v>
      </c>
      <c r="CD122">
        <v>36220</v>
      </c>
      <c r="CE122" s="3">
        <f t="shared" si="117"/>
        <v>1.7028678890456041E-3</v>
      </c>
      <c r="CF122" s="2">
        <v>267667</v>
      </c>
      <c r="CG122" s="3">
        <f t="shared" si="118"/>
        <v>0.98434534965641496</v>
      </c>
      <c r="CH122" s="2">
        <v>885</v>
      </c>
      <c r="CI122" s="3">
        <f t="shared" si="119"/>
        <v>0.99562054631828978</v>
      </c>
      <c r="CJ122" s="2">
        <v>3261</v>
      </c>
      <c r="CK122" s="3">
        <f t="shared" si="120"/>
        <v>0.8547891526027519</v>
      </c>
      <c r="CL122" s="1">
        <v>1600</v>
      </c>
    </row>
    <row r="123" spans="1:90" x14ac:dyDescent="0.3">
      <c r="A123" t="s">
        <v>288</v>
      </c>
      <c r="B123" t="s">
        <v>289</v>
      </c>
      <c r="C123">
        <v>121</v>
      </c>
      <c r="D123" s="9">
        <f t="shared" si="128"/>
        <v>94</v>
      </c>
      <c r="E123" s="9">
        <f t="shared" si="85"/>
        <v>3.2218724480045067</v>
      </c>
      <c r="F123" s="1">
        <v>3861912</v>
      </c>
      <c r="G123">
        <v>2400000</v>
      </c>
      <c r="H123" s="3">
        <f t="shared" si="126"/>
        <v>3.2000000000000002E-3</v>
      </c>
      <c r="I123">
        <v>2000000</v>
      </c>
      <c r="J123" s="3">
        <f t="shared" si="121"/>
        <v>3.2310177705977385E-3</v>
      </c>
      <c r="K123">
        <v>52000</v>
      </c>
      <c r="L123" s="3">
        <f t="shared" si="122"/>
        <v>2.2707423580786024E-3</v>
      </c>
      <c r="M123">
        <v>12750</v>
      </c>
      <c r="N123" s="3">
        <f t="shared" si="123"/>
        <v>1.978277734678045E-3</v>
      </c>
      <c r="O123">
        <v>12750</v>
      </c>
      <c r="P123" s="3">
        <f t="shared" si="124"/>
        <v>5.6415929203539822E-3</v>
      </c>
      <c r="Q123">
        <v>0</v>
      </c>
      <c r="R123" s="3">
        <f t="shared" si="86"/>
        <v>0</v>
      </c>
      <c r="S123">
        <v>20</v>
      </c>
      <c r="T123" s="3">
        <f t="shared" si="87"/>
        <v>1.4532771399505887E-3</v>
      </c>
      <c r="U123">
        <v>0</v>
      </c>
      <c r="V123" s="3">
        <f t="shared" si="125"/>
        <v>0</v>
      </c>
      <c r="W123">
        <v>0</v>
      </c>
      <c r="X123" s="3">
        <f t="shared" si="88"/>
        <v>0</v>
      </c>
      <c r="Y123">
        <v>11</v>
      </c>
      <c r="Z123" s="3">
        <f t="shared" si="89"/>
        <v>1.9167102282627636E-3</v>
      </c>
      <c r="AA123">
        <v>0</v>
      </c>
      <c r="AB123" s="3">
        <f t="shared" si="90"/>
        <v>0</v>
      </c>
      <c r="AC123">
        <v>20</v>
      </c>
      <c r="AD123" s="3">
        <f t="shared" si="91"/>
        <v>3.2976092333058533E-3</v>
      </c>
      <c r="AE123">
        <v>0</v>
      </c>
      <c r="AF123" s="3">
        <f t="shared" si="92"/>
        <v>0</v>
      </c>
      <c r="AG123">
        <v>149</v>
      </c>
      <c r="AH123" s="3">
        <f t="shared" si="93"/>
        <v>7.3703996834190736E-3</v>
      </c>
      <c r="AI123">
        <v>100</v>
      </c>
      <c r="AJ123" s="3">
        <f t="shared" si="94"/>
        <v>2.4353416784374847E-3</v>
      </c>
      <c r="AK123">
        <v>15</v>
      </c>
      <c r="AL123" s="3">
        <f t="shared" si="95"/>
        <v>2.5117213663764233E-3</v>
      </c>
      <c r="AM123">
        <v>40</v>
      </c>
      <c r="AN123" s="3">
        <f t="shared" si="96"/>
        <v>5.3951982735365523E-3</v>
      </c>
      <c r="AO123">
        <v>110</v>
      </c>
      <c r="AP123" s="3">
        <f t="shared" si="97"/>
        <v>2.9000790930661744E-2</v>
      </c>
      <c r="AQ123">
        <v>0</v>
      </c>
      <c r="AR123" s="3">
        <f t="shared" si="98"/>
        <v>0</v>
      </c>
      <c r="AS123">
        <v>0</v>
      </c>
      <c r="AT123" s="3">
        <f t="shared" si="99"/>
        <v>0</v>
      </c>
      <c r="AU123">
        <v>0</v>
      </c>
      <c r="AV123" s="3">
        <f t="shared" si="100"/>
        <v>0</v>
      </c>
      <c r="AW123">
        <v>0</v>
      </c>
      <c r="AX123" s="3">
        <f t="shared" si="101"/>
        <v>0</v>
      </c>
      <c r="AY123">
        <v>0</v>
      </c>
      <c r="AZ123" s="3">
        <f t="shared" si="102"/>
        <v>0</v>
      </c>
      <c r="BA123">
        <v>0</v>
      </c>
      <c r="BB123" s="3">
        <f t="shared" si="103"/>
        <v>0</v>
      </c>
      <c r="BC123">
        <v>0</v>
      </c>
      <c r="BD123" s="3">
        <f t="shared" si="104"/>
        <v>0</v>
      </c>
      <c r="BE123">
        <v>0</v>
      </c>
      <c r="BF123" s="3">
        <f t="shared" si="105"/>
        <v>0</v>
      </c>
      <c r="BG123">
        <v>0</v>
      </c>
      <c r="BH123" s="3">
        <f t="shared" si="106"/>
        <v>0</v>
      </c>
      <c r="BI123">
        <v>36000</v>
      </c>
      <c r="BJ123" s="3">
        <f t="shared" si="107"/>
        <v>1.8947368421052631E-3</v>
      </c>
      <c r="BK123">
        <v>0</v>
      </c>
      <c r="BL123" s="3">
        <f t="shared" si="108"/>
        <v>0</v>
      </c>
      <c r="BM123">
        <v>1480000</v>
      </c>
      <c r="BN123" s="3">
        <f t="shared" si="109"/>
        <v>1.836456135997022E-3</v>
      </c>
      <c r="BO123">
        <v>0</v>
      </c>
      <c r="BP123" s="3">
        <f t="shared" si="110"/>
        <v>0</v>
      </c>
      <c r="BQ123">
        <v>5</v>
      </c>
      <c r="BR123" s="3">
        <f t="shared" si="111"/>
        <v>0.20833333333333334</v>
      </c>
      <c r="BS123">
        <v>22926</v>
      </c>
      <c r="BT123" s="3">
        <f t="shared" si="112"/>
        <v>3.4806979614703162E-3</v>
      </c>
      <c r="BU123">
        <v>601</v>
      </c>
      <c r="BV123" s="3">
        <f t="shared" si="113"/>
        <v>2.6735826897754367E-3</v>
      </c>
      <c r="BW123">
        <v>24</v>
      </c>
      <c r="BX123" s="3">
        <f t="shared" si="114"/>
        <v>1.7760674905646415E-3</v>
      </c>
      <c r="BY123">
        <v>250</v>
      </c>
      <c r="BZ123" s="3">
        <f t="shared" si="115"/>
        <v>4.2531473290234774E-4</v>
      </c>
      <c r="CA123" s="1">
        <v>9768</v>
      </c>
      <c r="CB123">
        <v>4800</v>
      </c>
      <c r="CC123" s="3">
        <f t="shared" si="116"/>
        <v>1.5523932729624838E-3</v>
      </c>
      <c r="CD123">
        <v>42530</v>
      </c>
      <c r="CE123" s="3">
        <f t="shared" si="117"/>
        <v>1.9995298542548191E-3</v>
      </c>
      <c r="CF123" s="2">
        <v>51197</v>
      </c>
      <c r="CG123" s="3">
        <f t="shared" si="118"/>
        <v>0.99700571555835971</v>
      </c>
      <c r="CH123" s="2">
        <v>20</v>
      </c>
      <c r="CI123" s="3">
        <f t="shared" si="119"/>
        <v>0.99990102929532854</v>
      </c>
      <c r="CJ123" s="2">
        <v>1543</v>
      </c>
      <c r="CK123" s="3">
        <f t="shared" si="120"/>
        <v>0.93129091151979337</v>
      </c>
      <c r="CL123" s="1" t="s">
        <v>77</v>
      </c>
    </row>
    <row r="124" spans="1:90" x14ac:dyDescent="0.3">
      <c r="A124" t="s">
        <v>290</v>
      </c>
      <c r="B124" t="s">
        <v>291</v>
      </c>
      <c r="C124">
        <v>122</v>
      </c>
      <c r="D124" s="9">
        <f t="shared" si="128"/>
        <v>118</v>
      </c>
      <c r="E124" s="9">
        <f t="shared" si="85"/>
        <v>3.0323791976299721</v>
      </c>
      <c r="F124" s="1">
        <v>2100025</v>
      </c>
      <c r="G124">
        <v>1046540</v>
      </c>
      <c r="H124" s="3">
        <f t="shared" si="126"/>
        <v>1.3953866666666667E-3</v>
      </c>
      <c r="I124">
        <v>871803</v>
      </c>
      <c r="J124" s="3">
        <f t="shared" si="121"/>
        <v>1.4084054927302101E-3</v>
      </c>
      <c r="K124">
        <v>31064</v>
      </c>
      <c r="L124" s="3">
        <f t="shared" si="122"/>
        <v>1.3565065502183407E-3</v>
      </c>
      <c r="M124">
        <v>24055</v>
      </c>
      <c r="N124" s="3">
        <f t="shared" si="123"/>
        <v>3.7323506594259116E-3</v>
      </c>
      <c r="O124">
        <v>8055</v>
      </c>
      <c r="P124" s="3">
        <f t="shared" si="124"/>
        <v>3.5641592920353984E-3</v>
      </c>
      <c r="Q124">
        <v>16000</v>
      </c>
      <c r="R124" s="3">
        <f t="shared" si="86"/>
        <v>2.9090909090909089E-3</v>
      </c>
      <c r="S124">
        <v>16</v>
      </c>
      <c r="T124" s="3">
        <f t="shared" si="87"/>
        <v>1.1626217119604708E-3</v>
      </c>
      <c r="U124">
        <v>0</v>
      </c>
      <c r="V124" s="3">
        <f t="shared" si="125"/>
        <v>0</v>
      </c>
      <c r="W124">
        <v>0</v>
      </c>
      <c r="X124" s="3">
        <f t="shared" si="88"/>
        <v>0</v>
      </c>
      <c r="Y124">
        <v>8</v>
      </c>
      <c r="Z124" s="3">
        <f t="shared" si="89"/>
        <v>1.3939710751001916E-3</v>
      </c>
      <c r="AA124">
        <v>4</v>
      </c>
      <c r="AB124" s="3">
        <f t="shared" si="90"/>
        <v>1.4129282938890851E-3</v>
      </c>
      <c r="AC124">
        <v>16</v>
      </c>
      <c r="AD124" s="3">
        <f t="shared" si="91"/>
        <v>2.6380873866446827E-3</v>
      </c>
      <c r="AE124">
        <v>4</v>
      </c>
      <c r="AF124" s="3">
        <f t="shared" si="92"/>
        <v>4.2238648363252373E-3</v>
      </c>
      <c r="AG124">
        <v>31</v>
      </c>
      <c r="AH124" s="3">
        <f t="shared" si="93"/>
        <v>1.5334388603086664E-3</v>
      </c>
      <c r="AI124">
        <v>330</v>
      </c>
      <c r="AJ124" s="3">
        <f t="shared" si="94"/>
        <v>8.0366275388436999E-3</v>
      </c>
      <c r="AK124">
        <v>0</v>
      </c>
      <c r="AL124" s="3">
        <f t="shared" si="95"/>
        <v>0</v>
      </c>
      <c r="AM124">
        <v>144</v>
      </c>
      <c r="AN124" s="3">
        <f t="shared" si="96"/>
        <v>1.942271378473159E-2</v>
      </c>
      <c r="AO124">
        <v>24</v>
      </c>
      <c r="AP124" s="3">
        <f t="shared" si="97"/>
        <v>6.3274452939625627E-3</v>
      </c>
      <c r="AQ124">
        <v>0</v>
      </c>
      <c r="AR124" s="3">
        <f t="shared" si="98"/>
        <v>0</v>
      </c>
      <c r="AS124">
        <v>0</v>
      </c>
      <c r="AT124" s="3">
        <f t="shared" si="99"/>
        <v>0</v>
      </c>
      <c r="AU124">
        <v>0</v>
      </c>
      <c r="AV124" s="3">
        <f t="shared" si="100"/>
        <v>0</v>
      </c>
      <c r="AW124">
        <v>0</v>
      </c>
      <c r="AX124" s="3">
        <f t="shared" si="101"/>
        <v>0</v>
      </c>
      <c r="AY124">
        <v>0</v>
      </c>
      <c r="AZ124" s="3">
        <f t="shared" si="102"/>
        <v>0</v>
      </c>
      <c r="BA124">
        <v>0</v>
      </c>
      <c r="BB124" s="3">
        <f t="shared" si="103"/>
        <v>0</v>
      </c>
      <c r="BC124">
        <v>0</v>
      </c>
      <c r="BD124" s="3">
        <f t="shared" si="104"/>
        <v>0</v>
      </c>
      <c r="BE124">
        <v>0</v>
      </c>
      <c r="BF124" s="3">
        <f t="shared" si="105"/>
        <v>0</v>
      </c>
      <c r="BG124">
        <v>0</v>
      </c>
      <c r="BH124" s="3">
        <f t="shared" si="106"/>
        <v>0</v>
      </c>
      <c r="BI124">
        <v>20000</v>
      </c>
      <c r="BJ124" s="3">
        <f t="shared" si="107"/>
        <v>1.0526315789473684E-3</v>
      </c>
      <c r="BK124">
        <v>0</v>
      </c>
      <c r="BL124" s="3">
        <f t="shared" si="108"/>
        <v>0</v>
      </c>
      <c r="BM124">
        <v>957400</v>
      </c>
      <c r="BN124" s="3">
        <f t="shared" si="109"/>
        <v>1.1879885841915871E-3</v>
      </c>
      <c r="BO124">
        <v>0</v>
      </c>
      <c r="BP124" s="3">
        <f t="shared" si="110"/>
        <v>0</v>
      </c>
      <c r="BQ124">
        <v>0</v>
      </c>
      <c r="BR124" s="3">
        <f t="shared" si="111"/>
        <v>0</v>
      </c>
      <c r="BS124">
        <v>14182</v>
      </c>
      <c r="BT124" s="3">
        <f t="shared" si="112"/>
        <v>2.1531561759387608E-3</v>
      </c>
      <c r="BU124">
        <v>700</v>
      </c>
      <c r="BV124" s="3">
        <f t="shared" si="113"/>
        <v>3.11398982170184E-3</v>
      </c>
      <c r="BW124">
        <v>10</v>
      </c>
      <c r="BX124" s="3">
        <f t="shared" si="114"/>
        <v>7.4002812106860056E-4</v>
      </c>
      <c r="BY124">
        <v>108</v>
      </c>
      <c r="BZ124" s="3">
        <f t="shared" si="115"/>
        <v>1.8373596461381423E-4</v>
      </c>
      <c r="CA124" s="1">
        <v>7680</v>
      </c>
      <c r="CB124">
        <v>2576</v>
      </c>
      <c r="CC124" s="3">
        <f t="shared" si="116"/>
        <v>8.33117723156533E-4</v>
      </c>
      <c r="CD124">
        <v>30130</v>
      </c>
      <c r="CE124" s="3">
        <f t="shared" si="117"/>
        <v>1.4165491302303714E-3</v>
      </c>
      <c r="CF124" s="2">
        <v>25713</v>
      </c>
      <c r="CG124" s="3">
        <f t="shared" si="118"/>
        <v>0.99849616118429019</v>
      </c>
      <c r="CH124" s="2">
        <v>0</v>
      </c>
      <c r="CI124" s="3">
        <f t="shared" si="119"/>
        <v>1</v>
      </c>
      <c r="CJ124" s="2">
        <v>838</v>
      </c>
      <c r="CK124" s="3">
        <f t="shared" si="120"/>
        <v>0.96268424099389949</v>
      </c>
      <c r="CL124" s="1">
        <v>280</v>
      </c>
    </row>
    <row r="125" spans="1:90" x14ac:dyDescent="0.3">
      <c r="A125" t="s">
        <v>292</v>
      </c>
      <c r="B125" t="s">
        <v>293</v>
      </c>
      <c r="C125">
        <v>123</v>
      </c>
      <c r="D125" s="9">
        <f t="shared" si="128"/>
        <v>78</v>
      </c>
      <c r="E125" s="9">
        <f t="shared" si="85"/>
        <v>3.3669871163801992</v>
      </c>
      <c r="F125" s="1">
        <v>10606865</v>
      </c>
      <c r="G125">
        <v>3535621</v>
      </c>
      <c r="H125" s="3">
        <f t="shared" si="126"/>
        <v>4.7141613333333337E-3</v>
      </c>
      <c r="I125">
        <v>1767810</v>
      </c>
      <c r="J125" s="3">
        <f t="shared" si="121"/>
        <v>2.8559127625201941E-3</v>
      </c>
      <c r="K125">
        <v>105855</v>
      </c>
      <c r="L125" s="3">
        <f t="shared" si="122"/>
        <v>4.6224890829694321E-3</v>
      </c>
      <c r="M125">
        <v>65925</v>
      </c>
      <c r="N125" s="3">
        <f t="shared" si="123"/>
        <v>1.0228859581070598E-2</v>
      </c>
      <c r="O125">
        <v>50925</v>
      </c>
      <c r="P125" s="3">
        <f t="shared" si="124"/>
        <v>2.2533185840707966E-2</v>
      </c>
      <c r="Q125">
        <v>15000</v>
      </c>
      <c r="R125" s="3">
        <f t="shared" si="86"/>
        <v>2.7272727272727275E-3</v>
      </c>
      <c r="S125">
        <v>58</v>
      </c>
      <c r="T125" s="3">
        <f t="shared" si="87"/>
        <v>4.2145037058567069E-3</v>
      </c>
      <c r="U125">
        <v>0</v>
      </c>
      <c r="V125" s="3">
        <f t="shared" si="125"/>
        <v>0</v>
      </c>
      <c r="W125">
        <v>8</v>
      </c>
      <c r="X125" s="3">
        <f t="shared" si="88"/>
        <v>2.872531418312388E-3</v>
      </c>
      <c r="Y125">
        <v>4</v>
      </c>
      <c r="Z125" s="3">
        <f t="shared" si="89"/>
        <v>6.9698553755009581E-4</v>
      </c>
      <c r="AA125">
        <v>6</v>
      </c>
      <c r="AB125" s="3">
        <f t="shared" si="90"/>
        <v>2.1193924408336277E-3</v>
      </c>
      <c r="AC125">
        <v>26</v>
      </c>
      <c r="AD125" s="3">
        <f t="shared" si="91"/>
        <v>4.2868920032976092E-3</v>
      </c>
      <c r="AE125">
        <v>0</v>
      </c>
      <c r="AF125" s="3">
        <f t="shared" si="92"/>
        <v>0</v>
      </c>
      <c r="AG125">
        <v>6</v>
      </c>
      <c r="AH125" s="3">
        <f t="shared" si="93"/>
        <v>2.9679461812425801E-4</v>
      </c>
      <c r="AI125">
        <v>20</v>
      </c>
      <c r="AJ125" s="3">
        <f t="shared" si="94"/>
        <v>4.8706833568749696E-4</v>
      </c>
      <c r="AK125">
        <v>0</v>
      </c>
      <c r="AL125" s="3">
        <f t="shared" si="95"/>
        <v>0</v>
      </c>
      <c r="AM125">
        <v>20</v>
      </c>
      <c r="AN125" s="3">
        <f t="shared" si="96"/>
        <v>2.6975991367682761E-3</v>
      </c>
      <c r="AO125">
        <v>0</v>
      </c>
      <c r="AP125" s="3">
        <f t="shared" si="97"/>
        <v>0</v>
      </c>
      <c r="AQ125">
        <v>33</v>
      </c>
      <c r="AR125" s="3">
        <f t="shared" si="98"/>
        <v>3.4126163391933813E-2</v>
      </c>
      <c r="AS125">
        <v>0</v>
      </c>
      <c r="AT125" s="3">
        <f t="shared" si="99"/>
        <v>0</v>
      </c>
      <c r="AU125">
        <v>0</v>
      </c>
      <c r="AV125" s="3">
        <f t="shared" si="100"/>
        <v>0</v>
      </c>
      <c r="AW125">
        <v>0</v>
      </c>
      <c r="AX125" s="3">
        <f t="shared" si="101"/>
        <v>0</v>
      </c>
      <c r="AY125">
        <v>0</v>
      </c>
      <c r="AZ125" s="3">
        <f t="shared" si="102"/>
        <v>0</v>
      </c>
      <c r="BA125">
        <v>0</v>
      </c>
      <c r="BB125" s="3">
        <f t="shared" si="103"/>
        <v>0</v>
      </c>
      <c r="BC125">
        <v>24</v>
      </c>
      <c r="BD125" s="3">
        <f t="shared" si="104"/>
        <v>5.4794520547945202E-2</v>
      </c>
      <c r="BE125">
        <v>0</v>
      </c>
      <c r="BF125" s="3">
        <f t="shared" si="105"/>
        <v>0</v>
      </c>
      <c r="BG125">
        <v>0</v>
      </c>
      <c r="BH125" s="3">
        <f t="shared" si="106"/>
        <v>0</v>
      </c>
      <c r="BI125">
        <v>115000</v>
      </c>
      <c r="BJ125" s="3">
        <f t="shared" si="107"/>
        <v>6.0526315789473685E-3</v>
      </c>
      <c r="BK125">
        <v>0</v>
      </c>
      <c r="BL125" s="3">
        <f t="shared" si="108"/>
        <v>0</v>
      </c>
      <c r="BM125">
        <v>5133000</v>
      </c>
      <c r="BN125" s="3">
        <f t="shared" si="109"/>
        <v>6.3692765851842657E-3</v>
      </c>
      <c r="BO125">
        <v>0</v>
      </c>
      <c r="BP125" s="3">
        <f t="shared" si="110"/>
        <v>0</v>
      </c>
      <c r="BQ125">
        <v>5</v>
      </c>
      <c r="BR125" s="3">
        <f t="shared" si="111"/>
        <v>0.20833333333333334</v>
      </c>
      <c r="BS125">
        <v>19705</v>
      </c>
      <c r="BT125" s="3">
        <f t="shared" si="112"/>
        <v>2.9916755356700943E-3</v>
      </c>
      <c r="BU125">
        <v>496</v>
      </c>
      <c r="BV125" s="3">
        <f t="shared" si="113"/>
        <v>2.2064842165201611E-3</v>
      </c>
      <c r="BW125">
        <v>36</v>
      </c>
      <c r="BX125" s="3">
        <f t="shared" si="114"/>
        <v>2.6641012358469621E-3</v>
      </c>
      <c r="BY125">
        <v>110</v>
      </c>
      <c r="BZ125" s="3">
        <f t="shared" si="115"/>
        <v>1.8713848247703301E-4</v>
      </c>
      <c r="CA125" s="1">
        <v>26050</v>
      </c>
      <c r="CB125">
        <v>6924</v>
      </c>
      <c r="CC125" s="3">
        <f t="shared" si="116"/>
        <v>2.2393272962483828E-3</v>
      </c>
      <c r="CD125">
        <v>161900</v>
      </c>
      <c r="CE125" s="3">
        <f t="shared" si="117"/>
        <v>7.6116596144804888E-3</v>
      </c>
      <c r="CF125" s="2">
        <v>48320</v>
      </c>
      <c r="CG125" s="3">
        <f t="shared" si="118"/>
        <v>0.99717397847100309</v>
      </c>
      <c r="CH125" s="2">
        <v>1288</v>
      </c>
      <c r="CI125" s="3">
        <f t="shared" si="119"/>
        <v>0.99362628661916075</v>
      </c>
      <c r="CJ125" s="2">
        <v>376</v>
      </c>
      <c r="CK125" s="3">
        <f t="shared" si="120"/>
        <v>0.98325689094714341</v>
      </c>
      <c r="CL125" s="1">
        <v>350</v>
      </c>
    </row>
    <row r="126" spans="1:90" x14ac:dyDescent="0.3">
      <c r="A126" t="s">
        <v>294</v>
      </c>
      <c r="B126" t="s">
        <v>295</v>
      </c>
      <c r="C126">
        <v>124</v>
      </c>
      <c r="D126" s="9">
        <f t="shared" si="128"/>
        <v>116</v>
      </c>
      <c r="E126" s="9">
        <f t="shared" si="85"/>
        <v>3.0453304974741826</v>
      </c>
      <c r="F126" s="1">
        <v>7019073</v>
      </c>
      <c r="G126">
        <v>3200000</v>
      </c>
      <c r="H126" s="3">
        <f t="shared" si="126"/>
        <v>4.2666666666666669E-3</v>
      </c>
      <c r="I126">
        <v>2302000</v>
      </c>
      <c r="J126" s="3">
        <f t="shared" si="121"/>
        <v>3.7189014539579968E-3</v>
      </c>
      <c r="K126">
        <v>145000</v>
      </c>
      <c r="L126" s="3">
        <f t="shared" si="122"/>
        <v>6.3318777292576418E-3</v>
      </c>
      <c r="M126">
        <v>130000</v>
      </c>
      <c r="N126" s="3">
        <f t="shared" si="123"/>
        <v>2.0170674941815361E-2</v>
      </c>
      <c r="O126">
        <v>30000</v>
      </c>
      <c r="P126" s="3">
        <f t="shared" si="124"/>
        <v>1.3274336283185841E-2</v>
      </c>
      <c r="Q126">
        <v>100000</v>
      </c>
      <c r="R126" s="3">
        <f t="shared" si="86"/>
        <v>1.8181818181818181E-2</v>
      </c>
      <c r="S126">
        <v>25</v>
      </c>
      <c r="T126" s="3">
        <f t="shared" si="87"/>
        <v>1.8165964249382358E-3</v>
      </c>
      <c r="U126">
        <v>0</v>
      </c>
      <c r="V126" s="3">
        <f t="shared" si="125"/>
        <v>0</v>
      </c>
      <c r="W126">
        <v>0</v>
      </c>
      <c r="X126" s="3">
        <f t="shared" si="88"/>
        <v>0</v>
      </c>
      <c r="Y126">
        <v>17</v>
      </c>
      <c r="Z126" s="3">
        <f t="shared" si="89"/>
        <v>2.9621885345879075E-3</v>
      </c>
      <c r="AA126">
        <v>0</v>
      </c>
      <c r="AB126" s="3">
        <f t="shared" si="90"/>
        <v>0</v>
      </c>
      <c r="AC126">
        <v>22</v>
      </c>
      <c r="AD126" s="3">
        <f t="shared" si="91"/>
        <v>3.6273701566364386E-3</v>
      </c>
      <c r="AE126">
        <v>0</v>
      </c>
      <c r="AF126" s="3">
        <f t="shared" si="92"/>
        <v>0</v>
      </c>
      <c r="AG126">
        <v>55</v>
      </c>
      <c r="AH126" s="3">
        <f t="shared" si="93"/>
        <v>2.7206173328056986E-3</v>
      </c>
      <c r="AI126">
        <v>185</v>
      </c>
      <c r="AJ126" s="3">
        <f t="shared" si="94"/>
        <v>4.5053821051093471E-3</v>
      </c>
      <c r="AK126">
        <v>0</v>
      </c>
      <c r="AL126" s="3">
        <f t="shared" si="95"/>
        <v>0</v>
      </c>
      <c r="AM126">
        <v>149</v>
      </c>
      <c r="AN126" s="3">
        <f t="shared" si="96"/>
        <v>2.0097113568923658E-2</v>
      </c>
      <c r="AO126">
        <v>0</v>
      </c>
      <c r="AP126" s="3">
        <f t="shared" si="97"/>
        <v>0</v>
      </c>
      <c r="AQ126">
        <v>36</v>
      </c>
      <c r="AR126" s="3">
        <f t="shared" si="98"/>
        <v>3.7228541882109618E-2</v>
      </c>
      <c r="AS126">
        <v>0</v>
      </c>
      <c r="AT126" s="3">
        <f t="shared" si="99"/>
        <v>0</v>
      </c>
      <c r="AU126">
        <v>0</v>
      </c>
      <c r="AV126" s="3">
        <f t="shared" si="100"/>
        <v>0</v>
      </c>
      <c r="AW126">
        <v>0</v>
      </c>
      <c r="AX126" s="3">
        <f t="shared" si="101"/>
        <v>0</v>
      </c>
      <c r="AY126">
        <v>0</v>
      </c>
      <c r="AZ126" s="3">
        <f t="shared" si="102"/>
        <v>0</v>
      </c>
      <c r="BA126">
        <v>0</v>
      </c>
      <c r="BB126" s="3">
        <f t="shared" si="103"/>
        <v>0</v>
      </c>
      <c r="BC126">
        <v>61</v>
      </c>
      <c r="BD126" s="3">
        <f t="shared" si="104"/>
        <v>0.13926940639269406</v>
      </c>
      <c r="BE126">
        <v>0</v>
      </c>
      <c r="BF126" s="3">
        <f t="shared" si="105"/>
        <v>0</v>
      </c>
      <c r="BG126">
        <v>0</v>
      </c>
      <c r="BH126" s="3">
        <f t="shared" si="106"/>
        <v>0</v>
      </c>
      <c r="BI126">
        <v>3520</v>
      </c>
      <c r="BJ126" s="3">
        <f t="shared" si="107"/>
        <v>1.8526315789473685E-4</v>
      </c>
      <c r="BK126">
        <v>0</v>
      </c>
      <c r="BL126" s="3">
        <f t="shared" si="108"/>
        <v>0</v>
      </c>
      <c r="BM126">
        <v>3500000</v>
      </c>
      <c r="BN126" s="3">
        <f t="shared" si="109"/>
        <v>4.3429705918848491E-3</v>
      </c>
      <c r="BO126">
        <v>0</v>
      </c>
      <c r="BP126" s="3">
        <f t="shared" si="110"/>
        <v>0</v>
      </c>
      <c r="BQ126">
        <v>0</v>
      </c>
      <c r="BR126" s="3">
        <f t="shared" si="111"/>
        <v>0</v>
      </c>
      <c r="BS126">
        <v>39568</v>
      </c>
      <c r="BT126" s="3">
        <f t="shared" si="112"/>
        <v>6.0073391319662162E-3</v>
      </c>
      <c r="BU126">
        <v>0</v>
      </c>
      <c r="BV126" s="3">
        <f t="shared" si="113"/>
        <v>0</v>
      </c>
      <c r="BW126">
        <v>41</v>
      </c>
      <c r="BX126" s="3">
        <f t="shared" si="114"/>
        <v>3.0341152963812624E-3</v>
      </c>
      <c r="BY126">
        <v>18</v>
      </c>
      <c r="BZ126" s="3">
        <f t="shared" si="115"/>
        <v>3.062266076896904E-5</v>
      </c>
      <c r="CA126" s="1">
        <v>11980</v>
      </c>
      <c r="CB126">
        <v>1024</v>
      </c>
      <c r="CC126" s="3">
        <f t="shared" si="116"/>
        <v>3.3117723156532989E-4</v>
      </c>
      <c r="CD126">
        <v>40960</v>
      </c>
      <c r="CE126" s="3">
        <f t="shared" si="117"/>
        <v>1.925716972261401E-3</v>
      </c>
      <c r="CF126" s="2">
        <v>236800</v>
      </c>
      <c r="CG126" s="3">
        <f t="shared" si="118"/>
        <v>0.98615062297047851</v>
      </c>
      <c r="CH126" s="2">
        <v>0</v>
      </c>
      <c r="CI126" s="3">
        <f t="shared" si="119"/>
        <v>1</v>
      </c>
      <c r="CJ126" s="2">
        <v>5274</v>
      </c>
      <c r="CK126" s="3">
        <f t="shared" si="120"/>
        <v>0.76515117780647457</v>
      </c>
      <c r="CL126" s="1">
        <v>4600</v>
      </c>
    </row>
    <row r="127" spans="1:90" x14ac:dyDescent="0.3">
      <c r="A127" t="s">
        <v>296</v>
      </c>
      <c r="B127" t="s">
        <v>297</v>
      </c>
      <c r="C127">
        <v>125</v>
      </c>
      <c r="D127" s="9">
        <f t="shared" si="128"/>
        <v>102</v>
      </c>
      <c r="E127" s="9">
        <f t="shared" si="85"/>
        <v>3.149867688595513</v>
      </c>
      <c r="F127" s="1">
        <v>6156670</v>
      </c>
      <c r="G127">
        <v>3100000</v>
      </c>
      <c r="H127" s="3">
        <f t="shared" si="126"/>
        <v>4.1333333333333335E-3</v>
      </c>
      <c r="I127">
        <v>2455000</v>
      </c>
      <c r="J127" s="3">
        <f t="shared" si="121"/>
        <v>3.9660743134087234E-3</v>
      </c>
      <c r="K127">
        <v>141000</v>
      </c>
      <c r="L127" s="3">
        <f t="shared" si="122"/>
        <v>6.1572052401746725E-3</v>
      </c>
      <c r="M127">
        <v>47000</v>
      </c>
      <c r="N127" s="3">
        <f t="shared" si="123"/>
        <v>7.2924747866563227E-3</v>
      </c>
      <c r="O127">
        <v>20000</v>
      </c>
      <c r="P127" s="3">
        <f t="shared" si="124"/>
        <v>8.8495575221238937E-3</v>
      </c>
      <c r="Q127">
        <v>27000</v>
      </c>
      <c r="R127" s="3">
        <f t="shared" si="86"/>
        <v>4.909090909090909E-3</v>
      </c>
      <c r="S127">
        <v>52</v>
      </c>
      <c r="T127" s="3">
        <f t="shared" si="87"/>
        <v>3.7785205638715303E-3</v>
      </c>
      <c r="U127">
        <v>0</v>
      </c>
      <c r="V127" s="3">
        <f t="shared" si="125"/>
        <v>0</v>
      </c>
      <c r="W127">
        <v>15</v>
      </c>
      <c r="X127" s="3">
        <f t="shared" si="88"/>
        <v>5.3859964093357273E-3</v>
      </c>
      <c r="Y127">
        <v>26</v>
      </c>
      <c r="Z127" s="3">
        <f t="shared" si="89"/>
        <v>4.5304059940756225E-3</v>
      </c>
      <c r="AA127">
        <v>3</v>
      </c>
      <c r="AB127" s="3">
        <f t="shared" si="90"/>
        <v>1.0596962204168139E-3</v>
      </c>
      <c r="AC127">
        <v>30</v>
      </c>
      <c r="AD127" s="3">
        <f t="shared" si="91"/>
        <v>4.9464138499587798E-3</v>
      </c>
      <c r="AE127">
        <v>0</v>
      </c>
      <c r="AF127" s="3">
        <f t="shared" si="92"/>
        <v>0</v>
      </c>
      <c r="AG127">
        <v>0</v>
      </c>
      <c r="AH127" s="3">
        <f t="shared" si="93"/>
        <v>0</v>
      </c>
      <c r="AI127">
        <v>123</v>
      </c>
      <c r="AJ127" s="3">
        <f t="shared" si="94"/>
        <v>2.9954702644781062E-3</v>
      </c>
      <c r="AK127">
        <v>0</v>
      </c>
      <c r="AL127" s="3">
        <f t="shared" si="95"/>
        <v>0</v>
      </c>
      <c r="AM127">
        <v>70</v>
      </c>
      <c r="AN127" s="3">
        <f t="shared" si="96"/>
        <v>9.4415969786889667E-3</v>
      </c>
      <c r="AO127">
        <v>0</v>
      </c>
      <c r="AP127" s="3">
        <f t="shared" si="97"/>
        <v>0</v>
      </c>
      <c r="AQ127">
        <v>4</v>
      </c>
      <c r="AR127" s="3">
        <f t="shared" si="98"/>
        <v>4.1365046535677356E-3</v>
      </c>
      <c r="AS127">
        <v>0</v>
      </c>
      <c r="AT127" s="3">
        <f t="shared" si="99"/>
        <v>0</v>
      </c>
      <c r="AU127">
        <v>0</v>
      </c>
      <c r="AV127" s="3">
        <f t="shared" si="100"/>
        <v>0</v>
      </c>
      <c r="AW127">
        <v>0</v>
      </c>
      <c r="AX127" s="3">
        <f t="shared" si="101"/>
        <v>0</v>
      </c>
      <c r="AY127">
        <v>0</v>
      </c>
      <c r="AZ127" s="3">
        <f t="shared" si="102"/>
        <v>0</v>
      </c>
      <c r="BA127">
        <v>0</v>
      </c>
      <c r="BB127" s="3">
        <f t="shared" si="103"/>
        <v>0</v>
      </c>
      <c r="BC127">
        <v>3</v>
      </c>
      <c r="BD127" s="3">
        <f t="shared" si="104"/>
        <v>6.8493150684931503E-3</v>
      </c>
      <c r="BE127">
        <v>0</v>
      </c>
      <c r="BF127" s="3">
        <f t="shared" si="105"/>
        <v>0</v>
      </c>
      <c r="BG127">
        <v>0</v>
      </c>
      <c r="BH127" s="3">
        <f t="shared" si="106"/>
        <v>0</v>
      </c>
      <c r="BI127">
        <v>46210</v>
      </c>
      <c r="BJ127" s="3">
        <f t="shared" si="107"/>
        <v>2.4321052631578947E-3</v>
      </c>
      <c r="BK127">
        <v>0</v>
      </c>
      <c r="BL127" s="3">
        <f t="shared" si="108"/>
        <v>0</v>
      </c>
      <c r="BM127">
        <v>2788000</v>
      </c>
      <c r="BN127" s="3">
        <f t="shared" si="109"/>
        <v>3.459486288621417E-3</v>
      </c>
      <c r="BO127">
        <v>0</v>
      </c>
      <c r="BP127" s="3">
        <f t="shared" si="110"/>
        <v>0</v>
      </c>
      <c r="BQ127">
        <v>2</v>
      </c>
      <c r="BR127" s="3">
        <f t="shared" si="111"/>
        <v>8.3333333333333329E-2</v>
      </c>
      <c r="BS127">
        <v>6918</v>
      </c>
      <c r="BT127" s="3">
        <f t="shared" si="112"/>
        <v>1.0503126798155652E-3</v>
      </c>
      <c r="BU127">
        <v>283</v>
      </c>
      <c r="BV127" s="3">
        <f t="shared" si="113"/>
        <v>1.2589415993451724E-3</v>
      </c>
      <c r="BW127">
        <v>68</v>
      </c>
      <c r="BX127" s="3">
        <f t="shared" si="114"/>
        <v>5.0321912232664844E-3</v>
      </c>
      <c r="BY127">
        <v>165</v>
      </c>
      <c r="BZ127" s="3">
        <f t="shared" si="115"/>
        <v>2.8070772371554951E-4</v>
      </c>
      <c r="CA127" s="1">
        <v>14900</v>
      </c>
      <c r="CB127">
        <v>3201</v>
      </c>
      <c r="CC127" s="3">
        <f t="shared" si="116"/>
        <v>1.0352522639068564E-3</v>
      </c>
      <c r="CD127">
        <v>54790</v>
      </c>
      <c r="CE127" s="3">
        <f t="shared" si="117"/>
        <v>2.5759285378467323E-3</v>
      </c>
      <c r="CF127" s="2">
        <v>21041</v>
      </c>
      <c r="CG127" s="3">
        <f t="shared" si="118"/>
        <v>0.99876940565000771</v>
      </c>
      <c r="CH127" s="2">
        <v>307</v>
      </c>
      <c r="CI127" s="3">
        <f t="shared" si="119"/>
        <v>0.99848079968329373</v>
      </c>
      <c r="CJ127" s="2">
        <v>590</v>
      </c>
      <c r="CK127" s="3">
        <f t="shared" si="120"/>
        <v>0.97372756824152829</v>
      </c>
      <c r="CL127" s="1" t="s">
        <v>77</v>
      </c>
    </row>
    <row r="128" spans="1:90" x14ac:dyDescent="0.3">
      <c r="A128" t="s">
        <v>298</v>
      </c>
      <c r="B128" t="s">
        <v>299</v>
      </c>
      <c r="C128">
        <v>126</v>
      </c>
      <c r="D128" s="9">
        <f t="shared" si="128"/>
        <v>40</v>
      </c>
      <c r="E128" s="9">
        <f t="shared" si="85"/>
        <v>4.1722519740643129</v>
      </c>
      <c r="F128" s="1">
        <v>3705246</v>
      </c>
      <c r="G128">
        <v>900000</v>
      </c>
      <c r="H128" s="3">
        <f t="shared" si="126"/>
        <v>1.1999999999999999E-3</v>
      </c>
      <c r="I128">
        <v>1500000</v>
      </c>
      <c r="J128" s="3">
        <f t="shared" si="121"/>
        <v>2.4232633279483036E-3</v>
      </c>
      <c r="K128">
        <v>64000</v>
      </c>
      <c r="L128" s="3">
        <f t="shared" si="122"/>
        <v>2.7947598253275107E-3</v>
      </c>
      <c r="M128">
        <v>34000</v>
      </c>
      <c r="N128" s="3">
        <f t="shared" si="123"/>
        <v>5.2754072924747868E-3</v>
      </c>
      <c r="O128">
        <v>12000</v>
      </c>
      <c r="P128" s="3">
        <f t="shared" si="124"/>
        <v>5.3097345132743362E-3</v>
      </c>
      <c r="Q128">
        <v>22000</v>
      </c>
      <c r="R128" s="3">
        <f t="shared" si="86"/>
        <v>4.0000000000000001E-3</v>
      </c>
      <c r="S128">
        <v>25</v>
      </c>
      <c r="T128" s="3">
        <f t="shared" si="87"/>
        <v>1.8165964249382358E-3</v>
      </c>
      <c r="U128">
        <v>0</v>
      </c>
      <c r="V128" s="3">
        <f t="shared" si="125"/>
        <v>0</v>
      </c>
      <c r="W128">
        <v>0</v>
      </c>
      <c r="X128" s="3">
        <f t="shared" si="88"/>
        <v>0</v>
      </c>
      <c r="Y128">
        <v>19</v>
      </c>
      <c r="Z128" s="3">
        <f t="shared" si="89"/>
        <v>3.3106813033629552E-3</v>
      </c>
      <c r="AA128">
        <v>4</v>
      </c>
      <c r="AB128" s="3">
        <f t="shared" si="90"/>
        <v>1.4129282938890851E-3</v>
      </c>
      <c r="AC128">
        <v>15</v>
      </c>
      <c r="AD128" s="3">
        <f t="shared" si="91"/>
        <v>2.4732069249793899E-3</v>
      </c>
      <c r="AE128">
        <v>0</v>
      </c>
      <c r="AF128" s="3">
        <f t="shared" si="92"/>
        <v>0</v>
      </c>
      <c r="AG128">
        <v>0</v>
      </c>
      <c r="AH128" s="3">
        <f t="shared" si="93"/>
        <v>0</v>
      </c>
      <c r="AI128">
        <v>65</v>
      </c>
      <c r="AJ128" s="3">
        <f t="shared" si="94"/>
        <v>1.5829720909843652E-3</v>
      </c>
      <c r="AK128">
        <v>0</v>
      </c>
      <c r="AL128" s="3">
        <f t="shared" si="95"/>
        <v>0</v>
      </c>
      <c r="AM128">
        <v>0</v>
      </c>
      <c r="AN128" s="3">
        <f t="shared" si="96"/>
        <v>0</v>
      </c>
      <c r="AO128">
        <v>0</v>
      </c>
      <c r="AP128" s="3">
        <f t="shared" si="97"/>
        <v>0</v>
      </c>
      <c r="AQ128">
        <v>20</v>
      </c>
      <c r="AR128" s="3">
        <f t="shared" si="98"/>
        <v>2.0682523267838676E-2</v>
      </c>
      <c r="AS128">
        <v>0</v>
      </c>
      <c r="AT128" s="3">
        <f t="shared" si="99"/>
        <v>0</v>
      </c>
      <c r="AU128">
        <v>0</v>
      </c>
      <c r="AV128" s="3">
        <f t="shared" si="100"/>
        <v>0</v>
      </c>
      <c r="AW128">
        <v>0</v>
      </c>
      <c r="AX128" s="3">
        <f t="shared" si="101"/>
        <v>0</v>
      </c>
      <c r="AY128">
        <v>0</v>
      </c>
      <c r="AZ128" s="3">
        <f t="shared" si="102"/>
        <v>0</v>
      </c>
      <c r="BA128">
        <v>0</v>
      </c>
      <c r="BB128" s="3">
        <f t="shared" si="103"/>
        <v>0</v>
      </c>
      <c r="BC128">
        <v>8</v>
      </c>
      <c r="BD128" s="3">
        <f t="shared" si="104"/>
        <v>1.8264840182648401E-2</v>
      </c>
      <c r="BE128">
        <v>0</v>
      </c>
      <c r="BF128" s="3">
        <f t="shared" si="105"/>
        <v>0</v>
      </c>
      <c r="BG128">
        <v>0</v>
      </c>
      <c r="BH128" s="3">
        <f t="shared" si="106"/>
        <v>0</v>
      </c>
      <c r="BI128">
        <v>101400</v>
      </c>
      <c r="BJ128" s="3">
        <f t="shared" si="107"/>
        <v>5.3368421052631581E-3</v>
      </c>
      <c r="BK128">
        <v>0</v>
      </c>
      <c r="BL128" s="3">
        <f t="shared" si="108"/>
        <v>0</v>
      </c>
      <c r="BM128">
        <v>1611000</v>
      </c>
      <c r="BN128" s="3">
        <f t="shared" si="109"/>
        <v>1.9990073210075692E-3</v>
      </c>
      <c r="BO128">
        <v>6413</v>
      </c>
      <c r="BP128" s="3">
        <f t="shared" si="110"/>
        <v>1</v>
      </c>
      <c r="BQ128">
        <v>3</v>
      </c>
      <c r="BR128" s="3">
        <f t="shared" si="111"/>
        <v>0.125</v>
      </c>
      <c r="BS128">
        <v>11978</v>
      </c>
      <c r="BT128" s="3">
        <f t="shared" si="112"/>
        <v>1.8185379125225268E-3</v>
      </c>
      <c r="BU128">
        <v>76</v>
      </c>
      <c r="BV128" s="3">
        <f t="shared" si="113"/>
        <v>3.380903234990569E-4</v>
      </c>
      <c r="BW128">
        <v>117</v>
      </c>
      <c r="BX128" s="3">
        <f t="shared" si="114"/>
        <v>8.6583290165026267E-3</v>
      </c>
      <c r="BY128">
        <v>145</v>
      </c>
      <c r="BZ128" s="3">
        <f t="shared" si="115"/>
        <v>2.4668254508336171E-4</v>
      </c>
      <c r="CA128" s="1">
        <v>22900</v>
      </c>
      <c r="CB128">
        <v>3878</v>
      </c>
      <c r="CC128" s="3">
        <f t="shared" si="116"/>
        <v>1.2542043984476068E-3</v>
      </c>
      <c r="CD128">
        <v>93120</v>
      </c>
      <c r="CE128" s="3">
        <f t="shared" si="117"/>
        <v>4.3779971791255293E-3</v>
      </c>
      <c r="CF128" s="2">
        <v>75420</v>
      </c>
      <c r="CG128" s="3">
        <f t="shared" si="118"/>
        <v>0.99558902020453333</v>
      </c>
      <c r="CH128" s="2">
        <v>2490</v>
      </c>
      <c r="CI128" s="3">
        <f t="shared" si="119"/>
        <v>0.98767814726840852</v>
      </c>
      <c r="CJ128" s="2">
        <v>687</v>
      </c>
      <c r="CK128" s="3">
        <f t="shared" si="120"/>
        <v>0.96940820234225411</v>
      </c>
      <c r="CL128" s="1">
        <v>800</v>
      </c>
    </row>
    <row r="129" spans="1:90" x14ac:dyDescent="0.3">
      <c r="A129" t="s">
        <v>300</v>
      </c>
      <c r="B129" t="s">
        <v>301</v>
      </c>
      <c r="C129">
        <v>127</v>
      </c>
      <c r="D129" s="9">
        <f t="shared" si="128"/>
        <v>123</v>
      </c>
      <c r="E129" s="9">
        <f t="shared" si="85"/>
        <v>2.9305212051442746</v>
      </c>
      <c r="F129" s="1">
        <v>2436469</v>
      </c>
      <c r="G129">
        <v>570000</v>
      </c>
      <c r="H129" s="3">
        <f t="shared" si="126"/>
        <v>7.6000000000000004E-4</v>
      </c>
      <c r="I129">
        <v>665000</v>
      </c>
      <c r="J129" s="3">
        <f t="shared" si="121"/>
        <v>1.0743134087237479E-3</v>
      </c>
      <c r="K129">
        <v>53000</v>
      </c>
      <c r="L129" s="3">
        <f t="shared" si="122"/>
        <v>2.3144104803493452E-3</v>
      </c>
      <c r="M129">
        <v>15500</v>
      </c>
      <c r="N129" s="3">
        <f t="shared" si="123"/>
        <v>2.404965089216447E-3</v>
      </c>
      <c r="O129">
        <v>9500</v>
      </c>
      <c r="P129" s="3">
        <f t="shared" si="124"/>
        <v>4.2035398230088495E-3</v>
      </c>
      <c r="Q129">
        <v>6000</v>
      </c>
      <c r="R129" s="3">
        <f t="shared" si="86"/>
        <v>1.090909090909091E-3</v>
      </c>
      <c r="S129">
        <v>31</v>
      </c>
      <c r="T129" s="3">
        <f t="shared" si="87"/>
        <v>2.2525795669234125E-3</v>
      </c>
      <c r="U129">
        <v>6</v>
      </c>
      <c r="V129" s="3">
        <f t="shared" si="125"/>
        <v>2.6132404181184671E-3</v>
      </c>
      <c r="W129">
        <v>6</v>
      </c>
      <c r="X129" s="3">
        <f t="shared" si="88"/>
        <v>2.1543985637342907E-3</v>
      </c>
      <c r="Y129">
        <v>10</v>
      </c>
      <c r="Z129" s="3">
        <f t="shared" si="89"/>
        <v>1.7424638438752395E-3</v>
      </c>
      <c r="AA129">
        <v>14</v>
      </c>
      <c r="AB129" s="3">
        <f t="shared" si="90"/>
        <v>4.9452490286117983E-3</v>
      </c>
      <c r="AC129">
        <v>8</v>
      </c>
      <c r="AD129" s="3">
        <f t="shared" si="91"/>
        <v>1.3190436933223414E-3</v>
      </c>
      <c r="AE129">
        <v>2</v>
      </c>
      <c r="AF129" s="3">
        <f t="shared" si="92"/>
        <v>2.1119324181626186E-3</v>
      </c>
      <c r="AG129">
        <v>10</v>
      </c>
      <c r="AH129" s="3">
        <f t="shared" si="93"/>
        <v>4.9465769687376336E-4</v>
      </c>
      <c r="AI129">
        <v>113</v>
      </c>
      <c r="AJ129" s="3">
        <f t="shared" si="94"/>
        <v>2.7519360966343576E-3</v>
      </c>
      <c r="AK129">
        <v>0</v>
      </c>
      <c r="AL129" s="3">
        <f t="shared" si="95"/>
        <v>0</v>
      </c>
      <c r="AM129">
        <v>30</v>
      </c>
      <c r="AN129" s="3">
        <f t="shared" si="96"/>
        <v>4.0463987051524144E-3</v>
      </c>
      <c r="AO129">
        <v>4</v>
      </c>
      <c r="AP129" s="3">
        <f t="shared" si="97"/>
        <v>1.0545742156604272E-3</v>
      </c>
      <c r="AQ129">
        <v>8</v>
      </c>
      <c r="AR129" s="3">
        <f t="shared" si="98"/>
        <v>8.2730093071354711E-3</v>
      </c>
      <c r="AS129">
        <v>0</v>
      </c>
      <c r="AT129" s="3">
        <f t="shared" si="99"/>
        <v>0</v>
      </c>
      <c r="AU129">
        <v>0</v>
      </c>
      <c r="AV129" s="3">
        <f t="shared" si="100"/>
        <v>0</v>
      </c>
      <c r="AW129">
        <v>0</v>
      </c>
      <c r="AX129" s="3">
        <f t="shared" si="101"/>
        <v>0</v>
      </c>
      <c r="AY129">
        <v>0</v>
      </c>
      <c r="AZ129" s="3">
        <f t="shared" si="102"/>
        <v>0</v>
      </c>
      <c r="BA129">
        <v>0</v>
      </c>
      <c r="BB129" s="3">
        <f t="shared" si="103"/>
        <v>0</v>
      </c>
      <c r="BC129">
        <v>6</v>
      </c>
      <c r="BD129" s="3">
        <f t="shared" si="104"/>
        <v>1.3698630136986301E-2</v>
      </c>
      <c r="BE129">
        <v>0</v>
      </c>
      <c r="BF129" s="3">
        <f t="shared" si="105"/>
        <v>0</v>
      </c>
      <c r="BG129">
        <v>0</v>
      </c>
      <c r="BH129" s="3">
        <f t="shared" si="106"/>
        <v>0</v>
      </c>
      <c r="BI129">
        <v>26800</v>
      </c>
      <c r="BJ129" s="3">
        <f t="shared" si="107"/>
        <v>1.4105263157894736E-3</v>
      </c>
      <c r="BK129">
        <v>0</v>
      </c>
      <c r="BL129" s="3">
        <f t="shared" si="108"/>
        <v>0</v>
      </c>
      <c r="BM129">
        <v>1210000</v>
      </c>
      <c r="BN129" s="3">
        <f t="shared" si="109"/>
        <v>1.5014269760516192E-3</v>
      </c>
      <c r="BO129">
        <v>1</v>
      </c>
      <c r="BP129" s="3">
        <f t="shared" si="110"/>
        <v>1.5593326056447841E-4</v>
      </c>
      <c r="BQ129">
        <v>2</v>
      </c>
      <c r="BR129" s="3">
        <f t="shared" si="111"/>
        <v>8.3333333333333329E-2</v>
      </c>
      <c r="BS129">
        <v>44138</v>
      </c>
      <c r="BT129" s="3">
        <f t="shared" si="112"/>
        <v>6.7011710120987887E-3</v>
      </c>
      <c r="BU129">
        <v>2626</v>
      </c>
      <c r="BV129" s="3">
        <f t="shared" si="113"/>
        <v>1.1681910388270045E-2</v>
      </c>
      <c r="BW129">
        <v>112</v>
      </c>
      <c r="BX129" s="3">
        <f t="shared" si="114"/>
        <v>8.2883149559683268E-3</v>
      </c>
      <c r="BY129">
        <v>120</v>
      </c>
      <c r="BZ129" s="3">
        <f t="shared" si="115"/>
        <v>2.0415107179312691E-4</v>
      </c>
      <c r="CA129" s="1">
        <v>6515</v>
      </c>
      <c r="CB129">
        <v>1762</v>
      </c>
      <c r="CC129" s="3">
        <f t="shared" si="116"/>
        <v>5.6985769728331182E-4</v>
      </c>
      <c r="CD129">
        <v>27040</v>
      </c>
      <c r="CE129" s="3">
        <f t="shared" si="117"/>
        <v>1.2712740949694405E-3</v>
      </c>
      <c r="CF129" s="2">
        <v>824292</v>
      </c>
      <c r="CG129" s="3">
        <f t="shared" si="118"/>
        <v>0.9517908332330306</v>
      </c>
      <c r="CH129" s="2">
        <v>1572</v>
      </c>
      <c r="CI129" s="3">
        <f t="shared" si="119"/>
        <v>0.99222090261282658</v>
      </c>
      <c r="CJ129" s="2">
        <v>4220</v>
      </c>
      <c r="CK129" s="3">
        <f t="shared" si="120"/>
        <v>0.81208531860889699</v>
      </c>
      <c r="CL129" s="1" t="s">
        <v>77</v>
      </c>
    </row>
    <row r="130" spans="1:90" x14ac:dyDescent="0.3">
      <c r="A130" t="s">
        <v>302</v>
      </c>
      <c r="B130" t="s">
        <v>303</v>
      </c>
      <c r="C130">
        <v>128</v>
      </c>
      <c r="D130" s="9">
        <f t="shared" si="128"/>
        <v>117</v>
      </c>
      <c r="E130" s="9">
        <f t="shared" si="85"/>
        <v>3.0421462194801023</v>
      </c>
      <c r="F130" s="1">
        <v>10817354</v>
      </c>
      <c r="G130">
        <v>2700000</v>
      </c>
      <c r="H130" s="3">
        <f t="shared" si="126"/>
        <v>3.5999999999999999E-3</v>
      </c>
      <c r="I130">
        <v>2700000</v>
      </c>
      <c r="J130" s="3">
        <f t="shared" si="121"/>
        <v>4.3618739903069463E-3</v>
      </c>
      <c r="K130">
        <v>203000</v>
      </c>
      <c r="L130" s="3">
        <f t="shared" si="122"/>
        <v>8.8646288209606981E-3</v>
      </c>
      <c r="M130">
        <v>15900</v>
      </c>
      <c r="N130" s="3">
        <f t="shared" si="123"/>
        <v>2.4670287044220324E-3</v>
      </c>
      <c r="O130">
        <v>15900</v>
      </c>
      <c r="P130" s="3">
        <f t="shared" si="124"/>
        <v>7.035398230088496E-3</v>
      </c>
      <c r="Q130">
        <v>0</v>
      </c>
      <c r="R130" s="3">
        <f t="shared" si="86"/>
        <v>0</v>
      </c>
      <c r="S130">
        <v>25</v>
      </c>
      <c r="T130" s="3">
        <f t="shared" si="87"/>
        <v>1.8165964249382358E-3</v>
      </c>
      <c r="U130">
        <v>0</v>
      </c>
      <c r="V130" s="3">
        <f t="shared" si="125"/>
        <v>0</v>
      </c>
      <c r="W130">
        <v>0</v>
      </c>
      <c r="X130" s="3">
        <f t="shared" si="88"/>
        <v>0</v>
      </c>
      <c r="Y130">
        <v>0</v>
      </c>
      <c r="Z130" s="3">
        <f t="shared" si="89"/>
        <v>0</v>
      </c>
      <c r="AA130">
        <v>0</v>
      </c>
      <c r="AB130" s="3">
        <f t="shared" si="90"/>
        <v>0</v>
      </c>
      <c r="AC130">
        <v>0</v>
      </c>
      <c r="AD130" s="3">
        <f t="shared" si="91"/>
        <v>0</v>
      </c>
      <c r="AE130">
        <v>0</v>
      </c>
      <c r="AF130" s="3">
        <f t="shared" si="92"/>
        <v>0</v>
      </c>
      <c r="AG130">
        <v>140</v>
      </c>
      <c r="AH130" s="3">
        <f t="shared" si="93"/>
        <v>6.9252077562326868E-3</v>
      </c>
      <c r="AI130">
        <v>430</v>
      </c>
      <c r="AJ130" s="3">
        <f t="shared" si="94"/>
        <v>1.0471969217281184E-2</v>
      </c>
      <c r="AK130">
        <v>0</v>
      </c>
      <c r="AL130" s="3">
        <f t="shared" si="95"/>
        <v>0</v>
      </c>
      <c r="AM130">
        <v>230</v>
      </c>
      <c r="AN130" s="3">
        <f t="shared" si="96"/>
        <v>3.1022390072835176E-2</v>
      </c>
      <c r="AO130">
        <v>0</v>
      </c>
      <c r="AP130" s="3">
        <f t="shared" si="97"/>
        <v>0</v>
      </c>
      <c r="AQ130">
        <v>3</v>
      </c>
      <c r="AR130" s="3">
        <f t="shared" si="98"/>
        <v>3.1023784901758012E-3</v>
      </c>
      <c r="AS130">
        <v>0</v>
      </c>
      <c r="AT130" s="3">
        <f t="shared" si="99"/>
        <v>0</v>
      </c>
      <c r="AU130">
        <v>0</v>
      </c>
      <c r="AV130" s="3">
        <f t="shared" si="100"/>
        <v>0</v>
      </c>
      <c r="AW130">
        <v>0</v>
      </c>
      <c r="AX130" s="3">
        <f t="shared" si="101"/>
        <v>0</v>
      </c>
      <c r="AY130">
        <v>0</v>
      </c>
      <c r="AZ130" s="3">
        <f t="shared" si="102"/>
        <v>0</v>
      </c>
      <c r="BA130">
        <v>0</v>
      </c>
      <c r="BB130" s="3">
        <f t="shared" si="103"/>
        <v>0</v>
      </c>
      <c r="BC130">
        <v>11</v>
      </c>
      <c r="BD130" s="3">
        <f t="shared" si="104"/>
        <v>2.5114155251141551E-2</v>
      </c>
      <c r="BE130">
        <v>0</v>
      </c>
      <c r="BF130" s="3">
        <f t="shared" si="105"/>
        <v>0</v>
      </c>
      <c r="BG130">
        <v>0</v>
      </c>
      <c r="BH130" s="3">
        <f t="shared" si="106"/>
        <v>0</v>
      </c>
      <c r="BI130">
        <v>5650</v>
      </c>
      <c r="BJ130" s="3">
        <f t="shared" si="107"/>
        <v>2.9736842105263157E-4</v>
      </c>
      <c r="BK130">
        <v>0</v>
      </c>
      <c r="BL130" s="3">
        <f t="shared" si="108"/>
        <v>0</v>
      </c>
      <c r="BM130">
        <v>3109000</v>
      </c>
      <c r="BN130" s="3">
        <f t="shared" si="109"/>
        <v>3.8577987343342847E-3</v>
      </c>
      <c r="BO130">
        <v>1</v>
      </c>
      <c r="BP130" s="3">
        <f t="shared" si="110"/>
        <v>1.5593326056447841E-4</v>
      </c>
      <c r="BQ130">
        <v>2</v>
      </c>
      <c r="BR130" s="3">
        <f t="shared" si="111"/>
        <v>8.3333333333333329E-2</v>
      </c>
      <c r="BS130">
        <v>22100</v>
      </c>
      <c r="BT130" s="3">
        <f t="shared" si="112"/>
        <v>3.3552920242734883E-3</v>
      </c>
      <c r="BU130">
        <v>0</v>
      </c>
      <c r="BV130" s="3">
        <f t="shared" si="113"/>
        <v>0</v>
      </c>
      <c r="BW130">
        <v>61</v>
      </c>
      <c r="BX130" s="3">
        <f t="shared" si="114"/>
        <v>4.5141715385184633E-3</v>
      </c>
      <c r="BY130">
        <v>58</v>
      </c>
      <c r="BZ130" s="3">
        <f t="shared" si="115"/>
        <v>9.867301803334467E-5</v>
      </c>
      <c r="CA130" s="1">
        <v>3054</v>
      </c>
      <c r="CB130">
        <v>30</v>
      </c>
      <c r="CC130" s="3">
        <f t="shared" si="116"/>
        <v>9.7024579560155246E-6</v>
      </c>
      <c r="CD130">
        <v>4431</v>
      </c>
      <c r="CE130" s="3">
        <f t="shared" si="117"/>
        <v>2.0832157968970382E-4</v>
      </c>
      <c r="CF130" s="2">
        <v>637657</v>
      </c>
      <c r="CG130" s="3">
        <f t="shared" si="118"/>
        <v>0.96270628290323645</v>
      </c>
      <c r="CH130" s="2">
        <v>3025</v>
      </c>
      <c r="CI130" s="3">
        <f t="shared" si="119"/>
        <v>0.98503068091844814</v>
      </c>
      <c r="CJ130" s="2">
        <v>2385</v>
      </c>
      <c r="CK130" s="3">
        <f t="shared" si="120"/>
        <v>0.89379703433227942</v>
      </c>
      <c r="CL130" s="1" t="s">
        <v>77</v>
      </c>
    </row>
    <row r="131" spans="1:90" x14ac:dyDescent="0.3">
      <c r="A131" t="s">
        <v>304</v>
      </c>
      <c r="B131" t="s">
        <v>305</v>
      </c>
      <c r="C131">
        <v>129</v>
      </c>
      <c r="D131" s="9">
        <f t="shared" si="128"/>
        <v>128</v>
      </c>
      <c r="E131" s="9">
        <f t="shared" ref="E131:E135" si="129">SUM(H131,J131,L131,N131,,P131,R131,T131,V131,X131,Z131,AB131,AD131,AF131,AH131,AJ131,AL131,AN131,AP131,AR131,AT131,AV131,AX131,AZ131,BB131,BD131,BF131,BH131,BJ131,BL131,BN131,BP131,BR131,BT131,BV131,BX131,BZ131,CC131,CE131,CG131,CI131,CK131)</f>
        <v>2.8195622149618167</v>
      </c>
      <c r="F131" s="1">
        <v>5507257</v>
      </c>
      <c r="G131">
        <v>2300000</v>
      </c>
      <c r="H131" s="3">
        <f t="shared" si="126"/>
        <v>3.0666666666666668E-3</v>
      </c>
      <c r="I131">
        <v>1320000</v>
      </c>
      <c r="J131" s="3">
        <f t="shared" si="121"/>
        <v>2.1324717285945071E-3</v>
      </c>
      <c r="K131">
        <v>110000</v>
      </c>
      <c r="L131" s="3">
        <f t="shared" si="122"/>
        <v>4.8034934497816597E-3</v>
      </c>
      <c r="M131">
        <v>5825</v>
      </c>
      <c r="N131" s="3">
        <f t="shared" si="123"/>
        <v>9.0380139643134216E-4</v>
      </c>
      <c r="O131">
        <v>5825</v>
      </c>
      <c r="P131" s="3">
        <f t="shared" si="124"/>
        <v>2.5774336283185839E-3</v>
      </c>
      <c r="Q131">
        <v>0</v>
      </c>
      <c r="R131" s="3">
        <f t="shared" si="86"/>
        <v>0</v>
      </c>
      <c r="S131">
        <v>4</v>
      </c>
      <c r="T131" s="3">
        <f t="shared" si="87"/>
        <v>2.906554279901177E-4</v>
      </c>
      <c r="U131">
        <v>0</v>
      </c>
      <c r="V131" s="3">
        <f t="shared" si="125"/>
        <v>0</v>
      </c>
      <c r="W131">
        <v>0</v>
      </c>
      <c r="X131" s="3">
        <f t="shared" si="88"/>
        <v>0</v>
      </c>
      <c r="Y131">
        <v>4</v>
      </c>
      <c r="Z131" s="3">
        <f t="shared" si="89"/>
        <v>6.9698553755009581E-4</v>
      </c>
      <c r="AA131">
        <v>0</v>
      </c>
      <c r="AB131" s="3">
        <f t="shared" si="90"/>
        <v>0</v>
      </c>
      <c r="AC131">
        <v>2</v>
      </c>
      <c r="AD131" s="3">
        <f t="shared" si="91"/>
        <v>3.2976092333058534E-4</v>
      </c>
      <c r="AE131">
        <v>0</v>
      </c>
      <c r="AF131" s="3">
        <f t="shared" si="92"/>
        <v>0</v>
      </c>
      <c r="AG131">
        <v>4</v>
      </c>
      <c r="AH131" s="3">
        <f t="shared" si="93"/>
        <v>1.9786307874950534E-4</v>
      </c>
      <c r="AI131">
        <v>51</v>
      </c>
      <c r="AJ131" s="3">
        <f t="shared" si="94"/>
        <v>1.2420242560031171E-3</v>
      </c>
      <c r="AK131">
        <v>0</v>
      </c>
      <c r="AL131" s="3">
        <f t="shared" si="95"/>
        <v>0</v>
      </c>
      <c r="AM131">
        <v>24</v>
      </c>
      <c r="AN131" s="3">
        <f t="shared" si="96"/>
        <v>3.2371189641219314E-3</v>
      </c>
      <c r="AO131">
        <v>0</v>
      </c>
      <c r="AP131" s="3">
        <f t="shared" si="97"/>
        <v>0</v>
      </c>
      <c r="AQ131">
        <v>0</v>
      </c>
      <c r="AR131" s="3">
        <f t="shared" si="98"/>
        <v>0</v>
      </c>
      <c r="AS131">
        <v>0</v>
      </c>
      <c r="AT131" s="3">
        <f t="shared" si="99"/>
        <v>0</v>
      </c>
      <c r="AU131">
        <v>0</v>
      </c>
      <c r="AV131" s="3">
        <f t="shared" si="100"/>
        <v>0</v>
      </c>
      <c r="AW131">
        <v>0</v>
      </c>
      <c r="AX131" s="3">
        <f t="shared" si="101"/>
        <v>0</v>
      </c>
      <c r="AY131">
        <v>0</v>
      </c>
      <c r="AZ131" s="3">
        <f t="shared" si="102"/>
        <v>0</v>
      </c>
      <c r="BA131">
        <v>0</v>
      </c>
      <c r="BB131" s="3">
        <f t="shared" si="103"/>
        <v>0</v>
      </c>
      <c r="BC131">
        <v>0</v>
      </c>
      <c r="BD131" s="3">
        <f t="shared" si="104"/>
        <v>0</v>
      </c>
      <c r="BE131">
        <v>0</v>
      </c>
      <c r="BF131" s="3">
        <f t="shared" si="105"/>
        <v>0</v>
      </c>
      <c r="BG131">
        <v>0</v>
      </c>
      <c r="BH131" s="3">
        <f t="shared" si="106"/>
        <v>0</v>
      </c>
      <c r="BI131">
        <v>120000</v>
      </c>
      <c r="BJ131" s="3">
        <f t="shared" si="107"/>
        <v>6.3157894736842104E-3</v>
      </c>
      <c r="BK131">
        <v>0</v>
      </c>
      <c r="BL131" s="3">
        <f t="shared" si="108"/>
        <v>0</v>
      </c>
      <c r="BM131">
        <v>2421000</v>
      </c>
      <c r="BN131" s="3">
        <f t="shared" si="109"/>
        <v>3.0040948008437773E-3</v>
      </c>
      <c r="BO131">
        <v>0</v>
      </c>
      <c r="BP131" s="3">
        <f t="shared" si="110"/>
        <v>0</v>
      </c>
      <c r="BQ131">
        <v>2</v>
      </c>
      <c r="BR131" s="3">
        <f t="shared" si="111"/>
        <v>8.3333333333333329E-2</v>
      </c>
      <c r="BS131">
        <v>20278</v>
      </c>
      <c r="BT131" s="3">
        <f t="shared" si="112"/>
        <v>3.0786702112315743E-3</v>
      </c>
      <c r="BU131">
        <v>0</v>
      </c>
      <c r="BV131" s="3">
        <f t="shared" si="113"/>
        <v>0</v>
      </c>
      <c r="BW131">
        <v>39</v>
      </c>
      <c r="BX131" s="3">
        <f t="shared" si="114"/>
        <v>2.8861096721675425E-3</v>
      </c>
      <c r="BY131">
        <v>18</v>
      </c>
      <c r="BZ131" s="3">
        <f t="shared" si="115"/>
        <v>3.062266076896904E-5</v>
      </c>
      <c r="CA131" s="1">
        <v>686</v>
      </c>
      <c r="CB131">
        <v>4128</v>
      </c>
      <c r="CC131" s="3">
        <f t="shared" si="116"/>
        <v>1.3350582147477362E-3</v>
      </c>
      <c r="CD131">
        <v>3206</v>
      </c>
      <c r="CE131" s="3">
        <f t="shared" si="117"/>
        <v>1.5072872590503057E-4</v>
      </c>
      <c r="CF131" s="2">
        <v>622984</v>
      </c>
      <c r="CG131" s="3">
        <f t="shared" si="118"/>
        <v>0.96356444130338081</v>
      </c>
      <c r="CH131" s="2">
        <v>0</v>
      </c>
      <c r="CI131" s="3">
        <f t="shared" si="119"/>
        <v>1</v>
      </c>
      <c r="CJ131" s="2">
        <v>5920</v>
      </c>
      <c r="CK131" s="3">
        <f t="shared" si="120"/>
        <v>0.73638509150821574</v>
      </c>
      <c r="CL131" s="1">
        <v>2800</v>
      </c>
    </row>
    <row r="132" spans="1:90" x14ac:dyDescent="0.3">
      <c r="A132" t="s">
        <v>306</v>
      </c>
      <c r="B132" t="s">
        <v>307</v>
      </c>
      <c r="C132">
        <v>130</v>
      </c>
      <c r="D132" s="9">
        <f t="shared" si="128"/>
        <v>125</v>
      </c>
      <c r="E132" s="9">
        <f t="shared" si="129"/>
        <v>2.879153682510295</v>
      </c>
      <c r="F132" s="1">
        <v>3677293</v>
      </c>
      <c r="G132">
        <v>1523335</v>
      </c>
      <c r="H132" s="3">
        <f t="shared" si="126"/>
        <v>2.0311133333333333E-3</v>
      </c>
      <c r="I132">
        <v>1061515</v>
      </c>
      <c r="J132" s="3">
        <f t="shared" si="121"/>
        <v>1.7148869143780291E-3</v>
      </c>
      <c r="K132">
        <v>72942</v>
      </c>
      <c r="L132" s="3">
        <f t="shared" si="122"/>
        <v>3.1852401746724889E-3</v>
      </c>
      <c r="M132">
        <v>20870</v>
      </c>
      <c r="N132" s="3">
        <f t="shared" si="123"/>
        <v>3.2381691233514353E-3</v>
      </c>
      <c r="O132">
        <v>15870</v>
      </c>
      <c r="P132" s="3">
        <f t="shared" si="124"/>
        <v>7.0221238938053101E-3</v>
      </c>
      <c r="Q132">
        <v>5000</v>
      </c>
      <c r="R132" s="3">
        <f t="shared" ref="R132:R135" si="130">Q132/VALUE(R$137)</f>
        <v>9.0909090909090909E-4</v>
      </c>
      <c r="S132">
        <v>26</v>
      </c>
      <c r="T132" s="3">
        <f t="shared" ref="T132:T135" si="131">S132/VALUE(T$137)</f>
        <v>1.8892602819357651E-3</v>
      </c>
      <c r="U132">
        <v>0</v>
      </c>
      <c r="V132" s="3">
        <f t="shared" si="125"/>
        <v>0</v>
      </c>
      <c r="W132">
        <v>2</v>
      </c>
      <c r="X132" s="3">
        <f t="shared" ref="X132:X135" si="132">W132/VALUE($X$137)</f>
        <v>7.18132854578097E-4</v>
      </c>
      <c r="Y132">
        <v>4</v>
      </c>
      <c r="Z132" s="3">
        <f t="shared" ref="Z132:Z135" si="133">Y132/VALUE($Z$137)</f>
        <v>6.9698553755009581E-4</v>
      </c>
      <c r="AA132">
        <v>9</v>
      </c>
      <c r="AB132" s="3">
        <f t="shared" ref="AB132:AB135" si="134">AA132/VALUE($AB$137)</f>
        <v>3.1790886612504416E-3</v>
      </c>
      <c r="AC132">
        <v>4</v>
      </c>
      <c r="AD132" s="3">
        <f t="shared" ref="AD132:AD135" si="135">AC132/VALUE($AD$137)</f>
        <v>6.5952184666117069E-4</v>
      </c>
      <c r="AE132">
        <v>0</v>
      </c>
      <c r="AF132" s="3">
        <f t="shared" ref="AF132:AF135" si="136">AE132/VALUE($AF$137)</f>
        <v>0</v>
      </c>
      <c r="AG132">
        <v>35</v>
      </c>
      <c r="AH132" s="3">
        <f t="shared" ref="AH132:AH135" si="137">AG132/VALUE($AH$137)</f>
        <v>1.7313019390581717E-3</v>
      </c>
      <c r="AI132">
        <v>70</v>
      </c>
      <c r="AJ132" s="3">
        <f t="shared" ref="AJ132:AJ135" si="138">AI132/VALUE(AJ$137)</f>
        <v>1.7047391749062393E-3</v>
      </c>
      <c r="AK132">
        <v>0</v>
      </c>
      <c r="AL132" s="3">
        <f t="shared" ref="AL132:AL135" si="139">AK132/VALUE(AL$137)</f>
        <v>0</v>
      </c>
      <c r="AM132">
        <v>194</v>
      </c>
      <c r="AN132" s="3">
        <f t="shared" ref="AN132:AN135" si="140">AM132/VALUE(AN$137)</f>
        <v>2.6166711626652281E-2</v>
      </c>
      <c r="AO132">
        <v>0</v>
      </c>
      <c r="AP132" s="3">
        <f t="shared" ref="AP132:AP135" si="141">AO132/VALUE(AP$137)</f>
        <v>0</v>
      </c>
      <c r="AQ132">
        <v>5</v>
      </c>
      <c r="AR132" s="3">
        <f t="shared" ref="AR132:AR135" si="142">AQ132/VALUE(AR$137)</f>
        <v>5.170630816959669E-3</v>
      </c>
      <c r="AS132">
        <v>0</v>
      </c>
      <c r="AT132" s="3">
        <f t="shared" ref="AT132:AT135" si="143">AS132/VALUE(AT$137)</f>
        <v>0</v>
      </c>
      <c r="AU132">
        <v>0</v>
      </c>
      <c r="AV132" s="3">
        <f t="shared" ref="AV132:AV135" si="144">AU132/VALUE(AV$137)</f>
        <v>0</v>
      </c>
      <c r="AW132">
        <v>0</v>
      </c>
      <c r="AX132" s="3">
        <f t="shared" ref="AX132:AX135" si="145">AW132/VALUE(AX$137)</f>
        <v>0</v>
      </c>
      <c r="AY132">
        <v>0</v>
      </c>
      <c r="AZ132" s="3">
        <f t="shared" ref="AZ132:AZ135" si="146">AY132/VALUE(AZ$137)</f>
        <v>0</v>
      </c>
      <c r="BA132">
        <v>0</v>
      </c>
      <c r="BB132" s="3">
        <f t="shared" ref="BB132:BB135" si="147">BA132/VALUE(BB$137)</f>
        <v>0</v>
      </c>
      <c r="BC132">
        <v>5</v>
      </c>
      <c r="BD132" s="3">
        <f t="shared" ref="BD132:BD135" si="148">BC132/VALUE(BD$137)</f>
        <v>1.1415525114155251E-2</v>
      </c>
      <c r="BE132">
        <v>0</v>
      </c>
      <c r="BF132" s="3">
        <f t="shared" ref="BF132:BF135" si="149">BE132/VALUE(BF$137)</f>
        <v>0</v>
      </c>
      <c r="BG132">
        <v>4000</v>
      </c>
      <c r="BH132" s="3">
        <f t="shared" ref="BH132:BH135" si="150">BG132/VALUE(BH$137)</f>
        <v>3.956478733926805E-4</v>
      </c>
      <c r="BI132">
        <v>13000</v>
      </c>
      <c r="BJ132" s="3">
        <f t="shared" ref="BJ132:BJ135" si="151">BI132/VALUE(BJ$137)</f>
        <v>6.8421052631578944E-4</v>
      </c>
      <c r="BK132">
        <v>20000000</v>
      </c>
      <c r="BL132" s="3">
        <f t="shared" ref="BL132:BL135" si="152">BK132/VALUE(BL$137)</f>
        <v>6.666666666666667E-5</v>
      </c>
      <c r="BM132">
        <v>1356000</v>
      </c>
      <c r="BN132" s="3">
        <f t="shared" ref="BN132:BN135" si="153">BM132/VALUE(BN$137)</f>
        <v>1.6825908921702444E-3</v>
      </c>
      <c r="BO132">
        <v>0</v>
      </c>
      <c r="BP132" s="3">
        <f t="shared" ref="BP132:BP135" si="154">BO132/VALUE(BP$137)</f>
        <v>0</v>
      </c>
      <c r="BQ132">
        <v>2</v>
      </c>
      <c r="BR132" s="3">
        <f t="shared" ref="BR132:BR135" si="155">BQ132/VALUE(BR$137)</f>
        <v>8.3333333333333329E-2</v>
      </c>
      <c r="BS132">
        <v>10628</v>
      </c>
      <c r="BT132" s="3">
        <f t="shared" ref="BT132:BT135" si="156">BS132/VALUE(BT$137)</f>
        <v>1.6135766350216577E-3</v>
      </c>
      <c r="BU132">
        <v>728</v>
      </c>
      <c r="BV132" s="3">
        <f t="shared" ref="BV132:BV135" si="157">BU132/VALUE(BV$137)</f>
        <v>3.2385494145699134E-3</v>
      </c>
      <c r="BW132">
        <v>30</v>
      </c>
      <c r="BX132" s="3">
        <f t="shared" ref="BX132:BX135" si="158">BW132/VALUE(BX$137)</f>
        <v>2.220084363205802E-3</v>
      </c>
      <c r="BY132">
        <v>39</v>
      </c>
      <c r="BZ132" s="3">
        <f t="shared" ref="BZ132:BZ135" si="159">BY132/VALUE(BZ$137)</f>
        <v>6.6349098332766244E-5</v>
      </c>
      <c r="CA132" s="1">
        <v>3585000</v>
      </c>
      <c r="CB132">
        <v>1186</v>
      </c>
      <c r="CC132" s="3">
        <f t="shared" ref="CC132:CC135" si="160">CB132/VALUE(CC$137)</f>
        <v>3.8357050452781369E-4</v>
      </c>
      <c r="CD132">
        <v>16710</v>
      </c>
      <c r="CE132" s="3">
        <f t="shared" ref="CE132:CE135" si="161">CD132/VALUE(CE$137)</f>
        <v>7.856135401974612E-4</v>
      </c>
      <c r="CF132" s="2">
        <v>1030700</v>
      </c>
      <c r="CG132" s="3">
        <f t="shared" ref="CG132:CG135" si="162">1-(CF132/VALUE(CG$137))</f>
        <v>0.93971894888375074</v>
      </c>
      <c r="CH132" s="2">
        <v>754</v>
      </c>
      <c r="CI132" s="3">
        <f t="shared" ref="CI132:CI135" si="163">1-(CH132/VALUE(CI$137))</f>
        <v>0.99626880443388754</v>
      </c>
      <c r="CJ132" s="2">
        <v>5002</v>
      </c>
      <c r="CK132" s="3">
        <f t="shared" ref="CK132:CK135" si="164">1-(CJ132/VALUE(CK$137))</f>
        <v>0.77726321414258359</v>
      </c>
      <c r="CL132" s="1" t="s">
        <v>77</v>
      </c>
    </row>
    <row r="133" spans="1:90" x14ac:dyDescent="0.3">
      <c r="A133" t="s">
        <v>308</v>
      </c>
      <c r="B133" t="s">
        <v>309</v>
      </c>
      <c r="C133">
        <v>131</v>
      </c>
      <c r="D133" s="9">
        <f t="shared" si="128"/>
        <v>101</v>
      </c>
      <c r="E133" s="9">
        <f t="shared" si="129"/>
        <v>3.1569387025060145</v>
      </c>
      <c r="F133" s="1">
        <v>6018888</v>
      </c>
      <c r="G133">
        <v>1402400</v>
      </c>
      <c r="H133" s="3">
        <f t="shared" si="126"/>
        <v>1.8698666666666667E-3</v>
      </c>
      <c r="I133">
        <v>835830</v>
      </c>
      <c r="J133" s="3">
        <f t="shared" ref="J133:J135" si="165">I133/VALUE(J$137)</f>
        <v>1.3502907915993539E-3</v>
      </c>
      <c r="K133">
        <v>32848</v>
      </c>
      <c r="L133" s="3">
        <f t="shared" ref="L133:L135" si="166">K133/VALUE(L$137)</f>
        <v>1.434410480349345E-3</v>
      </c>
      <c r="M133">
        <v>10750</v>
      </c>
      <c r="N133" s="3">
        <f t="shared" ref="N133:N135" si="167">M133/VALUE(N$137)</f>
        <v>1.6679596586501163E-3</v>
      </c>
      <c r="O133">
        <v>10750</v>
      </c>
      <c r="P133" s="3">
        <f t="shared" ref="P133:P135" si="168">O133/VALUE(P$137)</f>
        <v>4.7566371681415929E-3</v>
      </c>
      <c r="Q133">
        <v>0</v>
      </c>
      <c r="R133" s="3">
        <f t="shared" si="130"/>
        <v>0</v>
      </c>
      <c r="S133">
        <v>5</v>
      </c>
      <c r="T133" s="3">
        <f t="shared" si="131"/>
        <v>3.6331928498764716E-4</v>
      </c>
      <c r="U133">
        <v>0</v>
      </c>
      <c r="V133" s="3">
        <f t="shared" ref="V133:V135" si="169">U133/VALUE(V$137)</f>
        <v>0</v>
      </c>
      <c r="W133">
        <v>0</v>
      </c>
      <c r="X133" s="3">
        <f t="shared" si="132"/>
        <v>0</v>
      </c>
      <c r="Y133">
        <v>2</v>
      </c>
      <c r="Z133" s="3">
        <f t="shared" si="133"/>
        <v>3.484927687750479E-4</v>
      </c>
      <c r="AA133">
        <v>0</v>
      </c>
      <c r="AB133" s="3">
        <f t="shared" si="134"/>
        <v>0</v>
      </c>
      <c r="AC133">
        <v>5</v>
      </c>
      <c r="AD133" s="3">
        <f t="shared" si="135"/>
        <v>8.2440230832646333E-4</v>
      </c>
      <c r="AE133">
        <v>0</v>
      </c>
      <c r="AF133" s="3">
        <f t="shared" si="136"/>
        <v>0</v>
      </c>
      <c r="AG133">
        <v>2</v>
      </c>
      <c r="AH133" s="3">
        <f t="shared" si="137"/>
        <v>9.8931539374752671E-5</v>
      </c>
      <c r="AI133">
        <v>10</v>
      </c>
      <c r="AJ133" s="3">
        <f t="shared" si="138"/>
        <v>2.4353416784374848E-4</v>
      </c>
      <c r="AK133">
        <v>0</v>
      </c>
      <c r="AL133" s="3">
        <f t="shared" si="139"/>
        <v>0</v>
      </c>
      <c r="AM133">
        <v>0</v>
      </c>
      <c r="AN133" s="3">
        <f t="shared" si="140"/>
        <v>0</v>
      </c>
      <c r="AO133">
        <v>0</v>
      </c>
      <c r="AP133" s="3">
        <f t="shared" si="141"/>
        <v>0</v>
      </c>
      <c r="AQ133">
        <v>10</v>
      </c>
      <c r="AR133" s="3">
        <f t="shared" si="142"/>
        <v>1.0341261633919338E-2</v>
      </c>
      <c r="AS133">
        <v>0</v>
      </c>
      <c r="AT133" s="3">
        <f t="shared" si="143"/>
        <v>0</v>
      </c>
      <c r="AU133">
        <v>0</v>
      </c>
      <c r="AV133" s="3">
        <f t="shared" si="144"/>
        <v>0</v>
      </c>
      <c r="AW133">
        <v>0</v>
      </c>
      <c r="AX133" s="3">
        <f t="shared" si="145"/>
        <v>0</v>
      </c>
      <c r="AY133">
        <v>0</v>
      </c>
      <c r="AZ133" s="3">
        <f t="shared" si="146"/>
        <v>0</v>
      </c>
      <c r="BA133">
        <v>0</v>
      </c>
      <c r="BB133" s="3">
        <f t="shared" si="147"/>
        <v>0</v>
      </c>
      <c r="BC133">
        <v>10</v>
      </c>
      <c r="BD133" s="3">
        <f t="shared" si="148"/>
        <v>2.2831050228310501E-2</v>
      </c>
      <c r="BE133">
        <v>0</v>
      </c>
      <c r="BF133" s="3">
        <f t="shared" si="149"/>
        <v>0</v>
      </c>
      <c r="BG133">
        <v>0</v>
      </c>
      <c r="BH133" s="3">
        <f t="shared" si="150"/>
        <v>0</v>
      </c>
      <c r="BI133">
        <v>4400</v>
      </c>
      <c r="BJ133" s="3">
        <f t="shared" si="151"/>
        <v>2.3157894736842104E-4</v>
      </c>
      <c r="BK133">
        <v>0</v>
      </c>
      <c r="BL133" s="3">
        <f t="shared" si="152"/>
        <v>0</v>
      </c>
      <c r="BM133">
        <v>2678000</v>
      </c>
      <c r="BN133" s="3">
        <f t="shared" si="153"/>
        <v>3.3229929271621789E-3</v>
      </c>
      <c r="BO133">
        <v>215</v>
      </c>
      <c r="BP133" s="3">
        <f t="shared" si="154"/>
        <v>3.3525651021362859E-2</v>
      </c>
      <c r="BQ133">
        <v>3</v>
      </c>
      <c r="BR133" s="3">
        <f t="shared" si="155"/>
        <v>0.125</v>
      </c>
      <c r="BS133">
        <v>11300</v>
      </c>
      <c r="BT133" s="3">
        <f t="shared" si="156"/>
        <v>1.7156018042665346E-3</v>
      </c>
      <c r="BU133">
        <v>0</v>
      </c>
      <c r="BV133" s="3">
        <f t="shared" si="157"/>
        <v>0</v>
      </c>
      <c r="BW133">
        <v>8</v>
      </c>
      <c r="BX133" s="3">
        <f t="shared" si="158"/>
        <v>5.9202249685488047E-4</v>
      </c>
      <c r="BY133">
        <v>13</v>
      </c>
      <c r="BZ133" s="3">
        <f t="shared" si="159"/>
        <v>2.2116366110922082E-5</v>
      </c>
      <c r="CA133" s="1">
        <v>1561</v>
      </c>
      <c r="CB133">
        <v>2332</v>
      </c>
      <c r="CC133" s="3">
        <f t="shared" si="160"/>
        <v>7.5420439844760669E-4</v>
      </c>
      <c r="CD133">
        <v>10640</v>
      </c>
      <c r="CE133" s="3">
        <f t="shared" si="161"/>
        <v>5.0023507287259047E-4</v>
      </c>
      <c r="CF133" s="2">
        <v>71740</v>
      </c>
      <c r="CG133" s="3">
        <f t="shared" si="162"/>
        <v>0.99580424700972181</v>
      </c>
      <c r="CH133" s="2">
        <v>402</v>
      </c>
      <c r="CI133" s="3">
        <f t="shared" si="163"/>
        <v>0.99801068883610455</v>
      </c>
      <c r="CJ133" s="2">
        <v>1093</v>
      </c>
      <c r="CK133" s="3">
        <f t="shared" si="164"/>
        <v>0.9513292069287973</v>
      </c>
      <c r="CL133" s="1">
        <v>800</v>
      </c>
    </row>
    <row r="134" spans="1:90" x14ac:dyDescent="0.3">
      <c r="A134" t="s">
        <v>310</v>
      </c>
      <c r="B134" t="s">
        <v>311</v>
      </c>
      <c r="C134">
        <v>132</v>
      </c>
      <c r="D134" s="9">
        <f t="shared" si="128"/>
        <v>120</v>
      </c>
      <c r="E134" s="9">
        <f t="shared" si="129"/>
        <v>3.0087563003988027</v>
      </c>
      <c r="F134" s="1">
        <v>585824</v>
      </c>
      <c r="G134">
        <v>131700</v>
      </c>
      <c r="H134" s="3">
        <f t="shared" ref="H134:H135" si="170">G134/VALUE(H$137)</f>
        <v>1.7560000000000001E-4</v>
      </c>
      <c r="I134">
        <v>77100</v>
      </c>
      <c r="J134" s="3">
        <f t="shared" si="165"/>
        <v>1.245557350565428E-4</v>
      </c>
      <c r="K134">
        <v>3030</v>
      </c>
      <c r="L134" s="3">
        <f t="shared" si="166"/>
        <v>1.3231441048034936E-4</v>
      </c>
      <c r="M134">
        <v>2270</v>
      </c>
      <c r="N134" s="3">
        <f t="shared" si="167"/>
        <v>3.5221101629169901E-4</v>
      </c>
      <c r="O134">
        <v>2170</v>
      </c>
      <c r="P134" s="3">
        <f t="shared" si="168"/>
        <v>9.6017699115044251E-4</v>
      </c>
      <c r="Q134">
        <v>100</v>
      </c>
      <c r="R134" s="3">
        <f t="shared" si="130"/>
        <v>1.8181818181818182E-5</v>
      </c>
      <c r="S134">
        <v>3</v>
      </c>
      <c r="T134" s="3">
        <f t="shared" si="131"/>
        <v>2.1799157099258829E-4</v>
      </c>
      <c r="U134">
        <v>0</v>
      </c>
      <c r="V134" s="3">
        <f t="shared" si="169"/>
        <v>0</v>
      </c>
      <c r="W134">
        <v>0</v>
      </c>
      <c r="X134" s="3">
        <f t="shared" si="132"/>
        <v>0</v>
      </c>
      <c r="Y134">
        <v>0</v>
      </c>
      <c r="Z134" s="3">
        <f t="shared" si="133"/>
        <v>0</v>
      </c>
      <c r="AA134">
        <v>0</v>
      </c>
      <c r="AB134" s="3">
        <f t="shared" si="134"/>
        <v>0</v>
      </c>
      <c r="AC134">
        <v>3</v>
      </c>
      <c r="AD134" s="3">
        <f t="shared" si="135"/>
        <v>4.9464138499587804E-4</v>
      </c>
      <c r="AE134">
        <v>0</v>
      </c>
      <c r="AF134" s="3">
        <f t="shared" si="136"/>
        <v>0</v>
      </c>
      <c r="AG134">
        <v>0</v>
      </c>
      <c r="AH134" s="3">
        <f t="shared" si="137"/>
        <v>0</v>
      </c>
      <c r="AI134">
        <v>40</v>
      </c>
      <c r="AJ134" s="3">
        <f t="shared" si="138"/>
        <v>9.7413667137499391E-4</v>
      </c>
      <c r="AK134">
        <v>0</v>
      </c>
      <c r="AL134" s="3">
        <f t="shared" si="139"/>
        <v>0</v>
      </c>
      <c r="AM134">
        <v>0</v>
      </c>
      <c r="AN134" s="3">
        <f t="shared" si="140"/>
        <v>0</v>
      </c>
      <c r="AO134">
        <v>0</v>
      </c>
      <c r="AP134" s="3">
        <f t="shared" si="141"/>
        <v>0</v>
      </c>
      <c r="AQ134">
        <v>3</v>
      </c>
      <c r="AR134" s="3">
        <f t="shared" si="142"/>
        <v>3.1023784901758012E-3</v>
      </c>
      <c r="AS134">
        <v>0</v>
      </c>
      <c r="AT134" s="3">
        <f t="shared" si="143"/>
        <v>0</v>
      </c>
      <c r="AU134">
        <v>0</v>
      </c>
      <c r="AV134" s="3">
        <f t="shared" si="144"/>
        <v>0</v>
      </c>
      <c r="AW134">
        <v>0</v>
      </c>
      <c r="AX134" s="3">
        <f t="shared" si="145"/>
        <v>0</v>
      </c>
      <c r="AY134">
        <v>0</v>
      </c>
      <c r="AZ134" s="3">
        <f t="shared" si="146"/>
        <v>0</v>
      </c>
      <c r="BA134">
        <v>0</v>
      </c>
      <c r="BB134" s="3">
        <f t="shared" si="147"/>
        <v>0</v>
      </c>
      <c r="BC134">
        <v>3</v>
      </c>
      <c r="BD134" s="3">
        <f t="shared" si="148"/>
        <v>6.8493150684931503E-3</v>
      </c>
      <c r="BE134">
        <v>0</v>
      </c>
      <c r="BF134" s="3">
        <f t="shared" si="149"/>
        <v>0</v>
      </c>
      <c r="BG134">
        <v>17000</v>
      </c>
      <c r="BH134" s="3">
        <f t="shared" si="150"/>
        <v>1.6815034619188922E-3</v>
      </c>
      <c r="BI134">
        <v>17000</v>
      </c>
      <c r="BJ134" s="3">
        <f t="shared" si="151"/>
        <v>8.9473684210526316E-4</v>
      </c>
      <c r="BK134">
        <v>88970000</v>
      </c>
      <c r="BL134" s="3">
        <f t="shared" si="152"/>
        <v>2.9656666666666665E-4</v>
      </c>
      <c r="BM134">
        <v>154100</v>
      </c>
      <c r="BN134" s="3">
        <f t="shared" si="153"/>
        <v>1.9121479091698722E-4</v>
      </c>
      <c r="BO134">
        <v>0</v>
      </c>
      <c r="BP134" s="3">
        <f t="shared" si="154"/>
        <v>0</v>
      </c>
      <c r="BQ134">
        <v>2</v>
      </c>
      <c r="BR134" s="3">
        <f t="shared" si="155"/>
        <v>8.3333333333333329E-2</v>
      </c>
      <c r="BS134">
        <v>4304</v>
      </c>
      <c r="BT134" s="3">
        <f t="shared" si="156"/>
        <v>6.5344691730647483E-4</v>
      </c>
      <c r="BU134">
        <v>0</v>
      </c>
      <c r="BV134" s="3">
        <f t="shared" si="157"/>
        <v>0</v>
      </c>
      <c r="BW134">
        <v>55</v>
      </c>
      <c r="BX134" s="3">
        <f t="shared" si="158"/>
        <v>4.0701546658773033E-3</v>
      </c>
      <c r="BY134">
        <v>67</v>
      </c>
      <c r="BZ134" s="3">
        <f t="shared" si="159"/>
        <v>1.139843484178292E-4</v>
      </c>
      <c r="CA134" s="1">
        <v>1439</v>
      </c>
      <c r="CB134">
        <v>393</v>
      </c>
      <c r="CC134" s="3">
        <f t="shared" si="160"/>
        <v>1.2710219922380337E-4</v>
      </c>
      <c r="CD134">
        <v>8547</v>
      </c>
      <c r="CE134" s="3">
        <f t="shared" si="161"/>
        <v>4.0183356840620593E-4</v>
      </c>
      <c r="CF134" s="2">
        <v>163820</v>
      </c>
      <c r="CG134" s="3">
        <f t="shared" si="162"/>
        <v>0.99041889803641803</v>
      </c>
      <c r="CH134" s="2">
        <v>386</v>
      </c>
      <c r="CI134" s="3">
        <f t="shared" si="163"/>
        <v>0.99808986539984168</v>
      </c>
      <c r="CJ134" s="2">
        <v>1907</v>
      </c>
      <c r="CK134" s="3">
        <f t="shared" si="164"/>
        <v>0.9150821570111769</v>
      </c>
      <c r="CL134" s="1">
        <v>1200</v>
      </c>
    </row>
    <row r="135" spans="1:90" x14ac:dyDescent="0.3">
      <c r="A135" t="s">
        <v>312</v>
      </c>
      <c r="B135" t="s">
        <v>313</v>
      </c>
      <c r="C135">
        <v>133</v>
      </c>
      <c r="D135" s="9">
        <f t="shared" ref="D135:D166" si="171">RANK(E135,$E$2:$E$135)</f>
        <v>121</v>
      </c>
      <c r="E135" s="9">
        <f t="shared" si="129"/>
        <v>2.956066068249096</v>
      </c>
      <c r="F135" s="1">
        <v>750125</v>
      </c>
      <c r="G135">
        <v>175000</v>
      </c>
      <c r="H135" s="3">
        <f t="shared" si="170"/>
        <v>2.3333333333333333E-4</v>
      </c>
      <c r="I135">
        <v>104300</v>
      </c>
      <c r="J135" s="3">
        <f t="shared" si="165"/>
        <v>1.6849757673667205E-4</v>
      </c>
      <c r="K135">
        <v>4100</v>
      </c>
      <c r="L135" s="3">
        <f t="shared" si="166"/>
        <v>1.7903930131004368E-4</v>
      </c>
      <c r="M135">
        <v>7500</v>
      </c>
      <c r="N135" s="3">
        <f t="shared" si="167"/>
        <v>1.1636927851047323E-3</v>
      </c>
      <c r="O135">
        <v>7500</v>
      </c>
      <c r="P135" s="3">
        <f t="shared" si="168"/>
        <v>3.3185840707964601E-3</v>
      </c>
      <c r="Q135">
        <v>0</v>
      </c>
      <c r="R135" s="3">
        <f t="shared" si="130"/>
        <v>0</v>
      </c>
      <c r="S135">
        <v>4</v>
      </c>
      <c r="T135" s="3">
        <f t="shared" si="131"/>
        <v>2.906554279901177E-4</v>
      </c>
      <c r="U135">
        <v>0</v>
      </c>
      <c r="V135" s="3">
        <f t="shared" si="169"/>
        <v>0</v>
      </c>
      <c r="W135">
        <v>0</v>
      </c>
      <c r="X135" s="3">
        <f t="shared" si="132"/>
        <v>0</v>
      </c>
      <c r="Y135">
        <v>2</v>
      </c>
      <c r="Z135" s="3">
        <f t="shared" si="133"/>
        <v>3.484927687750479E-4</v>
      </c>
      <c r="AA135">
        <v>0</v>
      </c>
      <c r="AB135" s="3">
        <f t="shared" si="134"/>
        <v>0</v>
      </c>
      <c r="AC135">
        <v>2</v>
      </c>
      <c r="AD135" s="3">
        <f t="shared" si="135"/>
        <v>3.2976092333058534E-4</v>
      </c>
      <c r="AE135">
        <v>0</v>
      </c>
      <c r="AF135" s="3">
        <f t="shared" si="136"/>
        <v>0</v>
      </c>
      <c r="AG135">
        <v>0</v>
      </c>
      <c r="AH135" s="3">
        <f t="shared" si="137"/>
        <v>0</v>
      </c>
      <c r="AI135">
        <v>10</v>
      </c>
      <c r="AJ135" s="3">
        <f t="shared" si="138"/>
        <v>2.4353416784374848E-4</v>
      </c>
      <c r="AK135">
        <v>0</v>
      </c>
      <c r="AL135" s="3">
        <f t="shared" si="139"/>
        <v>0</v>
      </c>
      <c r="AM135">
        <v>0</v>
      </c>
      <c r="AN135" s="3">
        <f t="shared" si="140"/>
        <v>0</v>
      </c>
      <c r="AO135">
        <v>0</v>
      </c>
      <c r="AP135" s="3">
        <f t="shared" si="141"/>
        <v>0</v>
      </c>
      <c r="AQ135">
        <v>0</v>
      </c>
      <c r="AR135" s="3">
        <f t="shared" si="142"/>
        <v>0</v>
      </c>
      <c r="AS135">
        <v>0</v>
      </c>
      <c r="AT135" s="3">
        <f t="shared" si="143"/>
        <v>0</v>
      </c>
      <c r="AU135">
        <v>0</v>
      </c>
      <c r="AV135" s="3">
        <f t="shared" si="144"/>
        <v>0</v>
      </c>
      <c r="AW135">
        <v>0</v>
      </c>
      <c r="AX135" s="3">
        <f t="shared" si="145"/>
        <v>0</v>
      </c>
      <c r="AY135">
        <v>0</v>
      </c>
      <c r="AZ135" s="3">
        <f t="shared" si="146"/>
        <v>0</v>
      </c>
      <c r="BA135">
        <v>0</v>
      </c>
      <c r="BB135" s="3">
        <f t="shared" si="147"/>
        <v>0</v>
      </c>
      <c r="BC135">
        <v>0</v>
      </c>
      <c r="BD135" s="3">
        <f t="shared" si="148"/>
        <v>0</v>
      </c>
      <c r="BE135">
        <v>0</v>
      </c>
      <c r="BF135" s="3">
        <f t="shared" si="149"/>
        <v>0</v>
      </c>
      <c r="BG135">
        <v>0</v>
      </c>
      <c r="BH135" s="3">
        <f t="shared" si="150"/>
        <v>0</v>
      </c>
      <c r="BI135">
        <v>2000</v>
      </c>
      <c r="BJ135" s="3">
        <f t="shared" si="151"/>
        <v>1.0526315789473685E-4</v>
      </c>
      <c r="BK135">
        <v>0</v>
      </c>
      <c r="BL135" s="3">
        <f t="shared" si="152"/>
        <v>0</v>
      </c>
      <c r="BM135">
        <v>353000</v>
      </c>
      <c r="BN135" s="3">
        <f t="shared" si="153"/>
        <v>4.3801960541010052E-4</v>
      </c>
      <c r="BO135">
        <v>0</v>
      </c>
      <c r="BP135" s="3">
        <f t="shared" si="154"/>
        <v>0</v>
      </c>
      <c r="BQ135">
        <v>0</v>
      </c>
      <c r="BR135" s="3">
        <f t="shared" si="155"/>
        <v>0</v>
      </c>
      <c r="BS135">
        <v>10578</v>
      </c>
      <c r="BT135" s="3">
        <f t="shared" si="156"/>
        <v>1.6059854765956994E-3</v>
      </c>
      <c r="BU135">
        <v>0</v>
      </c>
      <c r="BV135" s="3">
        <f t="shared" si="157"/>
        <v>0</v>
      </c>
      <c r="BW135">
        <v>2</v>
      </c>
      <c r="BX135" s="3">
        <f t="shared" si="158"/>
        <v>1.4800562421372012E-4</v>
      </c>
      <c r="BY135">
        <v>10</v>
      </c>
      <c r="BZ135" s="3">
        <f t="shared" si="159"/>
        <v>1.7012589316093909E-5</v>
      </c>
      <c r="CA135" s="1">
        <v>2261</v>
      </c>
      <c r="CB135">
        <v>15</v>
      </c>
      <c r="CC135" s="3">
        <f t="shared" si="160"/>
        <v>4.8512289780077623E-6</v>
      </c>
      <c r="CD135">
        <v>6432</v>
      </c>
      <c r="CE135" s="3">
        <f t="shared" si="161"/>
        <v>3.0239774330042315E-4</v>
      </c>
      <c r="CF135" s="2">
        <v>38394</v>
      </c>
      <c r="CG135" s="3">
        <f t="shared" si="162"/>
        <v>0.99775450598956317</v>
      </c>
      <c r="CH135" s="2">
        <v>0</v>
      </c>
      <c r="CI135" s="3">
        <f t="shared" si="163"/>
        <v>1</v>
      </c>
      <c r="CJ135" s="2">
        <v>1136</v>
      </c>
      <c r="CK135" s="3">
        <f t="shared" si="164"/>
        <v>0.94941443647860357</v>
      </c>
      <c r="CL135" s="1" t="s">
        <v>77</v>
      </c>
    </row>
    <row r="137" spans="1:90" x14ac:dyDescent="0.3">
      <c r="A137" t="s">
        <v>314</v>
      </c>
      <c r="H137" s="3">
        <v>750000000</v>
      </c>
      <c r="I137">
        <v>0</v>
      </c>
      <c r="J137" s="3">
        <v>619000000</v>
      </c>
      <c r="K137" s="3">
        <v>1</v>
      </c>
      <c r="L137" s="3">
        <v>22900000</v>
      </c>
      <c r="M137" s="3">
        <v>1</v>
      </c>
      <c r="N137" s="3">
        <v>6445000</v>
      </c>
      <c r="O137" s="3">
        <v>1</v>
      </c>
      <c r="P137" s="3">
        <v>2260000</v>
      </c>
      <c r="Q137" s="3">
        <v>1</v>
      </c>
      <c r="R137" s="3">
        <v>5500000</v>
      </c>
      <c r="S137" s="3">
        <v>1</v>
      </c>
      <c r="T137" s="3">
        <v>13762</v>
      </c>
      <c r="U137" s="3">
        <v>1</v>
      </c>
      <c r="V137" s="3">
        <v>2296</v>
      </c>
      <c r="W137" s="3">
        <v>1</v>
      </c>
      <c r="X137" s="3">
        <v>2785</v>
      </c>
      <c r="Y137" s="3">
        <v>1</v>
      </c>
      <c r="Z137" s="3">
        <v>5739</v>
      </c>
      <c r="AA137" s="3">
        <v>1</v>
      </c>
      <c r="AB137" s="3">
        <v>2831</v>
      </c>
      <c r="AC137" s="3">
        <v>1</v>
      </c>
      <c r="AD137" s="3">
        <v>6065</v>
      </c>
      <c r="AE137" s="3">
        <v>1</v>
      </c>
      <c r="AF137" s="3">
        <v>947</v>
      </c>
      <c r="AG137" s="3">
        <v>1</v>
      </c>
      <c r="AH137" s="3">
        <v>20216</v>
      </c>
      <c r="AI137" s="3">
        <v>1</v>
      </c>
      <c r="AJ137" s="3">
        <v>41062</v>
      </c>
      <c r="AK137" s="3">
        <v>1</v>
      </c>
      <c r="AL137" s="3">
        <v>5972</v>
      </c>
      <c r="AM137" s="3">
        <v>1</v>
      </c>
      <c r="AN137" s="3">
        <v>7414</v>
      </c>
      <c r="AO137" s="3">
        <v>1</v>
      </c>
      <c r="AP137" s="3">
        <v>3793</v>
      </c>
      <c r="AQ137" s="3">
        <v>1</v>
      </c>
      <c r="AR137" s="3">
        <v>967</v>
      </c>
      <c r="AS137" s="3">
        <v>1</v>
      </c>
      <c r="AT137" s="3">
        <v>19</v>
      </c>
      <c r="AU137" s="3">
        <v>1</v>
      </c>
      <c r="AV137" s="3">
        <v>51</v>
      </c>
      <c r="AW137" s="3">
        <v>1</v>
      </c>
      <c r="AX137" s="3">
        <v>63</v>
      </c>
      <c r="AY137" s="3">
        <v>1</v>
      </c>
      <c r="AZ137" s="3">
        <v>81</v>
      </c>
      <c r="BA137" s="3">
        <v>1</v>
      </c>
      <c r="BB137" s="3">
        <v>76</v>
      </c>
      <c r="BC137" s="3">
        <v>1</v>
      </c>
      <c r="BD137" s="3">
        <v>438</v>
      </c>
      <c r="BE137" s="3">
        <v>1</v>
      </c>
      <c r="BF137" s="3">
        <v>46</v>
      </c>
      <c r="BG137" s="3">
        <v>1</v>
      </c>
      <c r="BH137" s="3">
        <v>10110000</v>
      </c>
      <c r="BI137" s="3">
        <v>1</v>
      </c>
      <c r="BJ137" s="3">
        <v>19000000</v>
      </c>
      <c r="BK137" s="3">
        <v>1</v>
      </c>
      <c r="BL137" s="3">
        <v>300000000000</v>
      </c>
      <c r="BM137" s="3">
        <v>1</v>
      </c>
      <c r="BN137" s="3">
        <v>805900000</v>
      </c>
      <c r="BO137" s="3">
        <v>1</v>
      </c>
      <c r="BP137" s="3">
        <v>6413</v>
      </c>
      <c r="BQ137" s="3">
        <v>1</v>
      </c>
      <c r="BR137" s="3">
        <v>24</v>
      </c>
      <c r="BS137" s="3">
        <v>1</v>
      </c>
      <c r="BT137" s="3">
        <v>6586610</v>
      </c>
      <c r="BU137" s="3">
        <v>1</v>
      </c>
      <c r="BV137" s="3">
        <v>224792</v>
      </c>
      <c r="BW137" s="3">
        <v>1</v>
      </c>
      <c r="BX137" s="3">
        <v>13513</v>
      </c>
      <c r="BY137" s="3">
        <v>1</v>
      </c>
      <c r="BZ137" s="3">
        <v>587800</v>
      </c>
      <c r="CA137" s="3">
        <v>1</v>
      </c>
      <c r="CB137" s="3">
        <v>17910000</v>
      </c>
      <c r="CC137" s="3">
        <v>3092000</v>
      </c>
      <c r="CD137" s="3">
        <v>1</v>
      </c>
      <c r="CE137" s="3">
        <v>21270000</v>
      </c>
      <c r="CF137" s="3">
        <f t="shared" ref="CF137:CK137" si="172">MAX(CE2:CE135)</f>
        <v>1</v>
      </c>
      <c r="CG137" s="3">
        <f t="shared" si="172"/>
        <v>17098242</v>
      </c>
      <c r="CH137" s="3">
        <f t="shared" si="172"/>
        <v>0.99995923557521293</v>
      </c>
      <c r="CI137" s="3">
        <f t="shared" si="172"/>
        <v>202080</v>
      </c>
      <c r="CJ137" s="3">
        <f t="shared" si="172"/>
        <v>1</v>
      </c>
      <c r="CK137" s="3">
        <f t="shared" si="172"/>
        <v>22457</v>
      </c>
    </row>
  </sheetData>
  <scenarios current="0">
    <scenario name="ONE" count="5" user="HP" comment="Created by HP on 4/9/2023">
      <inputCells r="N5" val="7.93189846840448"/>
      <inputCells r="P5" val="6.81132844061045"/>
      <inputCells r="T5" val="0.551240517986183"/>
      <inputCells r="AH5" val="1.03770103770996"/>
      <inputCells r="AR5" val="1.89477867629178"/>
    </scenario>
  </scenario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GlobalFirePower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Chandreyi Chowdhury</dc:creator>
  <cp:lastModifiedBy>HP</cp:lastModifiedBy>
  <dcterms:created xsi:type="dcterms:W3CDTF">2023-04-09T10:23:21Z</dcterms:created>
  <dcterms:modified xsi:type="dcterms:W3CDTF">2023-04-09T10:45:16Z</dcterms:modified>
</cp:coreProperties>
</file>